
<file path=[Content_Types].xml><?xml version="1.0" encoding="utf-8"?>
<Types xmlns="http://schemas.openxmlformats.org/package/2006/content-types"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slicerCaches/slicerCache2.xml" ContentType="application/vnd.ms-excel.slicerCache+xml"/>
  <Override PartName="/xl/charts/style6.xml" ContentType="application/vnd.ms-office.chart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4.xml" ContentType="application/vnd.ms-office.chartstyle+xml"/>
  <Override PartName="/xl/charts/style5.xml" ContentType="application/vnd.ms-office.chartsty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olors6.xml" ContentType="application/vnd.ms-office.chartcolorstyle+xml"/>
  <Override PartName="/xl/charts/colors7.xml" ContentType="application/vnd.ms-office.chartcolorsty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charts/colors4.xml" ContentType="application/vnd.ms-office.chartcolor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harts/colors2.xml" ContentType="application/vnd.ms-office.chartcolorstyle+xml"/>
  <Override PartName="/xl/charts/colors3.xml" ContentType="application/vnd.ms-office.chartcolorstyle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licers/slicer1.xml" ContentType="application/vnd.ms-excel.slicer+xml"/>
  <Override PartName="/xl/charts/colors1.xml" ContentType="application/vnd.ms-office.chartcolorstyle+xml"/>
  <Override PartName="/docProps/core.xml" ContentType="application/vnd.openxmlformats-package.core-properties+xml"/>
  <Override PartName="/xl/pivotTables/pivotTable5.xml" ContentType="application/vnd.openxmlformats-officedocument.spreadsheetml.pivotTable+xml"/>
  <Override PartName="/xl/charts/chart7.xml" ContentType="application/vnd.openxmlformats-officedocument.drawingml.chart+xml"/>
  <Override PartName="/xl/slicerCaches/slicerCache3.xml" ContentType="application/vnd.ms-excel.slicerCach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harts/chart5.xml" ContentType="application/vnd.openxmlformats-officedocument.drawingml.chart+xml"/>
  <Override PartName="/xl/slicerCaches/slicerCache1.xml" ContentType="application/vnd.ms-excel.slicerCache+xml"/>
  <Override PartName="/xl/charts/style7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hidePivotFieldList="1"/>
  <bookViews>
    <workbookView xWindow="240" yWindow="105" windowWidth="14805" windowHeight="8010" activeTab="3"/>
  </bookViews>
  <sheets>
    <sheet name="Data" sheetId="1" r:id="rId1"/>
    <sheet name="Calculations" sheetId="2" r:id="rId2"/>
    <sheet name="Analysis" sheetId="3" r:id="rId3"/>
    <sheet name="Dashboard" sheetId="4" r:id="rId4"/>
  </sheets>
  <definedNames>
    <definedName name="Slicer_Category">#N/A</definedName>
    <definedName name="Slicer_Product">#N/A</definedName>
    <definedName name="Slicer_Region">#N/A</definedName>
    <definedName name="Slicer_Region1">#N/A</definedName>
  </definedNames>
  <calcPr calcId="191028"/>
  <pivotCaches>
    <pivotCache cacheId="6" r:id="rId5"/>
  </pivotCaches>
  <extLst xmlns:x15="http://schemas.microsoft.com/office/spreadsheetml/2010/11/main"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3"/>
  <c r="G33"/>
  <c r="G34"/>
  <c r="G31"/>
  <c r="X61" i="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B10" i="3"/>
  <c r="G7" i="4" s="1"/>
  <c r="B8" i="3"/>
  <c r="C7" i="4" s="1"/>
  <c r="W61" i="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W9"/>
  <c r="W8"/>
  <c r="W7"/>
  <c r="W6"/>
  <c r="W5"/>
  <c r="W4"/>
  <c r="W3"/>
  <c r="W2"/>
  <c r="B11" i="3" s="1"/>
  <c r="I7" i="4" s="1"/>
  <c r="V61" i="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  <c r="U61"/>
  <c r="U60"/>
  <c r="U59"/>
  <c r="U58"/>
  <c r="U57"/>
  <c r="U56"/>
  <c r="U55"/>
  <c r="U54"/>
  <c r="U53"/>
  <c r="U52"/>
  <c r="U51"/>
  <c r="U50"/>
  <c r="U49"/>
  <c r="U48"/>
  <c r="U47"/>
  <c r="U46"/>
  <c r="U45"/>
  <c r="U44"/>
  <c r="U43"/>
  <c r="U42"/>
  <c r="U41"/>
  <c r="U40"/>
  <c r="U39"/>
  <c r="U38"/>
  <c r="U37"/>
  <c r="U36"/>
  <c r="U35"/>
  <c r="U34"/>
  <c r="U33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U13"/>
  <c r="U12"/>
  <c r="U11"/>
  <c r="U10"/>
  <c r="U9"/>
  <c r="U8"/>
  <c r="U7"/>
  <c r="U6"/>
  <c r="U5"/>
  <c r="U4"/>
  <c r="U3"/>
  <c r="U2"/>
  <c r="Q2"/>
  <c r="R2" s="1"/>
  <c r="Q3"/>
  <c r="R3" s="1"/>
  <c r="Q4"/>
  <c r="R4" s="1"/>
  <c r="Q5"/>
  <c r="R5" s="1"/>
  <c r="Q6"/>
  <c r="R6" s="1"/>
  <c r="Q7"/>
  <c r="R7" s="1"/>
  <c r="Q8"/>
  <c r="R8" s="1"/>
  <c r="Q9"/>
  <c r="R9" s="1"/>
  <c r="Q10"/>
  <c r="R10" s="1"/>
  <c r="Q11"/>
  <c r="R11" s="1"/>
  <c r="Q12"/>
  <c r="R12" s="1"/>
  <c r="Q13"/>
  <c r="R13" s="1"/>
  <c r="Q14"/>
  <c r="R14" s="1"/>
  <c r="Q15"/>
  <c r="R15" s="1"/>
  <c r="Q16"/>
  <c r="R16" s="1"/>
  <c r="Q17"/>
  <c r="R17" s="1"/>
  <c r="Q18"/>
  <c r="R18" s="1"/>
  <c r="Q19"/>
  <c r="R19" s="1"/>
  <c r="Q20"/>
  <c r="R20" s="1"/>
  <c r="Q21"/>
  <c r="R21" s="1"/>
  <c r="Q22"/>
  <c r="R22" s="1"/>
  <c r="Q23"/>
  <c r="R23" s="1"/>
  <c r="Q24"/>
  <c r="R24" s="1"/>
  <c r="Q25"/>
  <c r="R25" s="1"/>
  <c r="Q26"/>
  <c r="R26" s="1"/>
  <c r="Q27"/>
  <c r="R27" s="1"/>
  <c r="Q28"/>
  <c r="R28" s="1"/>
  <c r="Q29"/>
  <c r="R29" s="1"/>
  <c r="Q30"/>
  <c r="R30" s="1"/>
  <c r="Q31"/>
  <c r="R31" s="1"/>
  <c r="Q32"/>
  <c r="R32" s="1"/>
  <c r="Q33"/>
  <c r="R33" s="1"/>
  <c r="Q34"/>
  <c r="R34" s="1"/>
  <c r="Q35"/>
  <c r="R35" s="1"/>
  <c r="Q36"/>
  <c r="R36" s="1"/>
  <c r="Q37"/>
  <c r="R37" s="1"/>
  <c r="Q38"/>
  <c r="R38" s="1"/>
  <c r="Q39"/>
  <c r="R39" s="1"/>
  <c r="Q40"/>
  <c r="R40" s="1"/>
  <c r="Q41"/>
  <c r="R41" s="1"/>
  <c r="Q42"/>
  <c r="R42" s="1"/>
  <c r="Q43"/>
  <c r="R43" s="1"/>
  <c r="Q44"/>
  <c r="R44" s="1"/>
  <c r="Q45"/>
  <c r="R45" s="1"/>
  <c r="Q46"/>
  <c r="R46" s="1"/>
  <c r="Q47"/>
  <c r="R47" s="1"/>
  <c r="Q48"/>
  <c r="R48" s="1"/>
  <c r="Q49"/>
  <c r="R49" s="1"/>
  <c r="Q50"/>
  <c r="R50" s="1"/>
  <c r="Q51"/>
  <c r="R51" s="1"/>
  <c r="Q52"/>
  <c r="R52" s="1"/>
  <c r="Q53"/>
  <c r="R53" s="1"/>
  <c r="Q54"/>
  <c r="R54" s="1"/>
  <c r="Q55"/>
  <c r="R55" s="1"/>
  <c r="Q56"/>
  <c r="R56" s="1"/>
  <c r="Q57"/>
  <c r="R57" s="1"/>
  <c r="Q58"/>
  <c r="R58" s="1"/>
  <c r="Q59"/>
  <c r="R59" s="1"/>
  <c r="Q60"/>
  <c r="R60" s="1"/>
  <c r="Q61"/>
  <c r="R61" s="1"/>
  <c r="N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B5" i="3" l="1"/>
  <c r="G4" i="4" s="1"/>
  <c r="B2" i="3"/>
  <c r="A4" i="4" s="1"/>
  <c r="O2" i="1"/>
  <c r="P2"/>
  <c r="O3"/>
  <c r="P3"/>
  <c r="S3" s="1"/>
  <c r="T3" s="1"/>
  <c r="O4"/>
  <c r="P4"/>
  <c r="S4" s="1"/>
  <c r="T4" s="1"/>
  <c r="O5"/>
  <c r="P5"/>
  <c r="S5" s="1"/>
  <c r="T5" s="1"/>
  <c r="O6"/>
  <c r="P6"/>
  <c r="S6" s="1"/>
  <c r="T6" s="1"/>
  <c r="O7"/>
  <c r="P7"/>
  <c r="S7" s="1"/>
  <c r="T7" s="1"/>
  <c r="O8"/>
  <c r="P8"/>
  <c r="S8" s="1"/>
  <c r="T8" s="1"/>
  <c r="O9"/>
  <c r="P9"/>
  <c r="S9" s="1"/>
  <c r="T9" s="1"/>
  <c r="O10"/>
  <c r="P10"/>
  <c r="S10" s="1"/>
  <c r="T10" s="1"/>
  <c r="O11"/>
  <c r="P11"/>
  <c r="S11" s="1"/>
  <c r="T11" s="1"/>
  <c r="O12"/>
  <c r="P12"/>
  <c r="S12" s="1"/>
  <c r="T12" s="1"/>
  <c r="O13"/>
  <c r="P13"/>
  <c r="S13" s="1"/>
  <c r="T13" s="1"/>
  <c r="O14"/>
  <c r="P14"/>
  <c r="S14" s="1"/>
  <c r="T14" s="1"/>
  <c r="O15"/>
  <c r="P15"/>
  <c r="S15" s="1"/>
  <c r="T15" s="1"/>
  <c r="O16"/>
  <c r="P16"/>
  <c r="S16" s="1"/>
  <c r="T16" s="1"/>
  <c r="O17"/>
  <c r="P17"/>
  <c r="S17" s="1"/>
  <c r="T17" s="1"/>
  <c r="O18"/>
  <c r="P18"/>
  <c r="S18" s="1"/>
  <c r="T18" s="1"/>
  <c r="O19"/>
  <c r="P19"/>
  <c r="S19" s="1"/>
  <c r="T19" s="1"/>
  <c r="O20"/>
  <c r="P20"/>
  <c r="S20" s="1"/>
  <c r="T20" s="1"/>
  <c r="O21"/>
  <c r="P21"/>
  <c r="S21" s="1"/>
  <c r="T21" s="1"/>
  <c r="O22"/>
  <c r="P22"/>
  <c r="S22" s="1"/>
  <c r="T22" s="1"/>
  <c r="O23"/>
  <c r="P23"/>
  <c r="S23" s="1"/>
  <c r="T23" s="1"/>
  <c r="O24"/>
  <c r="P24"/>
  <c r="S24" s="1"/>
  <c r="T24" s="1"/>
  <c r="O25"/>
  <c r="P25"/>
  <c r="S25" s="1"/>
  <c r="T25" s="1"/>
  <c r="O26"/>
  <c r="P26"/>
  <c r="S26" s="1"/>
  <c r="T26" s="1"/>
  <c r="O27"/>
  <c r="P27"/>
  <c r="S27" s="1"/>
  <c r="T27" s="1"/>
  <c r="O28"/>
  <c r="P28"/>
  <c r="S28" s="1"/>
  <c r="T28" s="1"/>
  <c r="O29"/>
  <c r="P29"/>
  <c r="S29" s="1"/>
  <c r="T29" s="1"/>
  <c r="O30"/>
  <c r="P30"/>
  <c r="S30" s="1"/>
  <c r="T30" s="1"/>
  <c r="O31"/>
  <c r="P31"/>
  <c r="S31" s="1"/>
  <c r="T31" s="1"/>
  <c r="O32"/>
  <c r="P32"/>
  <c r="S32" s="1"/>
  <c r="T32" s="1"/>
  <c r="O33"/>
  <c r="P33"/>
  <c r="S33" s="1"/>
  <c r="T33" s="1"/>
  <c r="O34"/>
  <c r="P34"/>
  <c r="S34" s="1"/>
  <c r="T34" s="1"/>
  <c r="O35"/>
  <c r="P35"/>
  <c r="S35" s="1"/>
  <c r="T35" s="1"/>
  <c r="O36"/>
  <c r="P36"/>
  <c r="S36" s="1"/>
  <c r="T36" s="1"/>
  <c r="O37"/>
  <c r="P37"/>
  <c r="S37" s="1"/>
  <c r="T37" s="1"/>
  <c r="O38"/>
  <c r="P38"/>
  <c r="S38" s="1"/>
  <c r="T38" s="1"/>
  <c r="O39"/>
  <c r="P39"/>
  <c r="S39" s="1"/>
  <c r="T39" s="1"/>
  <c r="O40"/>
  <c r="P40"/>
  <c r="S40" s="1"/>
  <c r="T40" s="1"/>
  <c r="O41"/>
  <c r="P41"/>
  <c r="S41" s="1"/>
  <c r="T41" s="1"/>
  <c r="O42"/>
  <c r="P42"/>
  <c r="S42" s="1"/>
  <c r="T42" s="1"/>
  <c r="O43"/>
  <c r="P43"/>
  <c r="S43" s="1"/>
  <c r="T43" s="1"/>
  <c r="O44"/>
  <c r="P44"/>
  <c r="S44" s="1"/>
  <c r="T44" s="1"/>
  <c r="O45"/>
  <c r="P45"/>
  <c r="S45" s="1"/>
  <c r="T45" s="1"/>
  <c r="O46"/>
  <c r="P46"/>
  <c r="S46" s="1"/>
  <c r="T46" s="1"/>
  <c r="O47"/>
  <c r="P47"/>
  <c r="S47" s="1"/>
  <c r="T47" s="1"/>
  <c r="O48"/>
  <c r="P48"/>
  <c r="S48" s="1"/>
  <c r="T48" s="1"/>
  <c r="O49"/>
  <c r="P49"/>
  <c r="S49" s="1"/>
  <c r="T49" s="1"/>
  <c r="O50"/>
  <c r="P50"/>
  <c r="S50" s="1"/>
  <c r="T50" s="1"/>
  <c r="O51"/>
  <c r="P51"/>
  <c r="S51" s="1"/>
  <c r="T51" s="1"/>
  <c r="O52"/>
  <c r="P52"/>
  <c r="S52" s="1"/>
  <c r="T52" s="1"/>
  <c r="O53"/>
  <c r="P53"/>
  <c r="S53" s="1"/>
  <c r="T53" s="1"/>
  <c r="O54"/>
  <c r="P54"/>
  <c r="S54" s="1"/>
  <c r="T54" s="1"/>
  <c r="O55"/>
  <c r="P55"/>
  <c r="S55" s="1"/>
  <c r="T55" s="1"/>
  <c r="O56"/>
  <c r="P56"/>
  <c r="S56" s="1"/>
  <c r="T56" s="1"/>
  <c r="O57"/>
  <c r="P57"/>
  <c r="S57" s="1"/>
  <c r="T57" s="1"/>
  <c r="O58"/>
  <c r="P58"/>
  <c r="S58" s="1"/>
  <c r="T58" s="1"/>
  <c r="O59"/>
  <c r="P59"/>
  <c r="S59" s="1"/>
  <c r="T59" s="1"/>
  <c r="O60"/>
  <c r="P60"/>
  <c r="S60" s="1"/>
  <c r="T60" s="1"/>
  <c r="O61"/>
  <c r="P61"/>
  <c r="S61" s="1"/>
  <c r="T61" s="1"/>
  <c r="B3" i="3" l="1"/>
  <c r="C4" i="4" s="1"/>
  <c r="S2" i="1"/>
  <c r="B4" i="3"/>
  <c r="B9" l="1"/>
  <c r="E7" i="4" s="1"/>
  <c r="E4"/>
  <c r="B6" i="3"/>
  <c r="T2" i="1"/>
  <c r="B7" i="3" l="1"/>
  <c r="A7" i="4" s="1"/>
  <c r="I4"/>
</calcChain>
</file>

<file path=xl/sharedStrings.xml><?xml version="1.0" encoding="utf-8"?>
<sst xmlns="http://schemas.openxmlformats.org/spreadsheetml/2006/main" count="708" uniqueCount="207">
  <si>
    <t>Order_ID</t>
  </si>
  <si>
    <t>Order_Date</t>
  </si>
  <si>
    <t>Customer_ID</t>
  </si>
  <si>
    <t>Customer_Name</t>
  </si>
  <si>
    <t>Region</t>
  </si>
  <si>
    <t>Category</t>
  </si>
  <si>
    <t>Product</t>
  </si>
  <si>
    <t>Quantity</t>
  </si>
  <si>
    <t>Unit_Price</t>
  </si>
  <si>
    <t>Discount</t>
  </si>
  <si>
    <t>Payment_Method</t>
  </si>
  <si>
    <t>Order_Status</t>
  </si>
  <si>
    <t>Delivery_Days</t>
  </si>
  <si>
    <t>Revenue</t>
  </si>
  <si>
    <t>Discount_Amount</t>
  </si>
  <si>
    <t>Net_Sales</t>
  </si>
  <si>
    <t>Unit_Cost</t>
  </si>
  <si>
    <t>Total_Cost</t>
  </si>
  <si>
    <t>Profit</t>
  </si>
  <si>
    <t>Profit_Margin</t>
  </si>
  <si>
    <t>Customer_Type</t>
  </si>
  <si>
    <t>Delivery_Category</t>
  </si>
  <si>
    <t>Return_Flag</t>
  </si>
  <si>
    <t>Order_Month</t>
  </si>
  <si>
    <t>ORD001</t>
  </si>
  <si>
    <t>C001</t>
  </si>
  <si>
    <t>RaviKumar</t>
  </si>
  <si>
    <t>South</t>
  </si>
  <si>
    <t>Electronics</t>
  </si>
  <si>
    <t>Laptop</t>
  </si>
  <si>
    <t>UPI</t>
  </si>
  <si>
    <t>Delivered</t>
  </si>
  <si>
    <t>ORD002</t>
  </si>
  <si>
    <t>C002</t>
  </si>
  <si>
    <t>Sita</t>
  </si>
  <si>
    <t>North</t>
  </si>
  <si>
    <t>Furniture</t>
  </si>
  <si>
    <t>Office Chair</t>
  </si>
  <si>
    <t>Card</t>
  </si>
  <si>
    <t>ORD003</t>
  </si>
  <si>
    <t>C003</t>
  </si>
  <si>
    <t>Raj</t>
  </si>
  <si>
    <t>West</t>
  </si>
  <si>
    <t>Monitor</t>
  </si>
  <si>
    <t>ORD004</t>
  </si>
  <si>
    <t>C004</t>
  </si>
  <si>
    <t>Priya</t>
  </si>
  <si>
    <t>East</t>
  </si>
  <si>
    <t>Stationery</t>
  </si>
  <si>
    <t>Note Book</t>
  </si>
  <si>
    <t>Cash</t>
  </si>
  <si>
    <t>ORD005</t>
  </si>
  <si>
    <t>C005</t>
  </si>
  <si>
    <t>Ravi</t>
  </si>
  <si>
    <t>Key Board</t>
  </si>
  <si>
    <t>ORD006</t>
  </si>
  <si>
    <t>C006</t>
  </si>
  <si>
    <t>Anita</t>
  </si>
  <si>
    <t>Desk</t>
  </si>
  <si>
    <t>ORD007</t>
  </si>
  <si>
    <t>C007</t>
  </si>
  <si>
    <t>Kiran</t>
  </si>
  <si>
    <t>Mouse</t>
  </si>
  <si>
    <t>ORD008</t>
  </si>
  <si>
    <t>C008</t>
  </si>
  <si>
    <t>Arjun</t>
  </si>
  <si>
    <t>Printer Paper</t>
  </si>
  <si>
    <t>ORD009</t>
  </si>
  <si>
    <t>C009</t>
  </si>
  <si>
    <t>Meena</t>
  </si>
  <si>
    <t>ORD010</t>
  </si>
  <si>
    <t>C010</t>
  </si>
  <si>
    <t xml:space="preserve">Ram </t>
  </si>
  <si>
    <t>upi</t>
  </si>
  <si>
    <t>ORD011</t>
  </si>
  <si>
    <t>Ravikumar</t>
  </si>
  <si>
    <t>ORD012</t>
  </si>
  <si>
    <t>ORD013</t>
  </si>
  <si>
    <t>ORD014</t>
  </si>
  <si>
    <t>card</t>
  </si>
  <si>
    <t>ORD015</t>
  </si>
  <si>
    <t>ORD016</t>
  </si>
  <si>
    <t>ORD017</t>
  </si>
  <si>
    <t>ORD018</t>
  </si>
  <si>
    <t>ORD019</t>
  </si>
  <si>
    <t>ORD020</t>
  </si>
  <si>
    <t>ORD021</t>
  </si>
  <si>
    <t>C011</t>
  </si>
  <si>
    <t>Neha</t>
  </si>
  <si>
    <t>ORD022</t>
  </si>
  <si>
    <t>C012</t>
  </si>
  <si>
    <t>Vikram</t>
  </si>
  <si>
    <t>ORD023</t>
  </si>
  <si>
    <t>C013</t>
  </si>
  <si>
    <t>Pooja</t>
  </si>
  <si>
    <t>ORD024</t>
  </si>
  <si>
    <t>C014</t>
  </si>
  <si>
    <t>Amit</t>
  </si>
  <si>
    <t>ORD025</t>
  </si>
  <si>
    <t>C015</t>
  </si>
  <si>
    <t>Divya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</si>
  <si>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</si>
  <si>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</si>
  <si>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</si>
  <si>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</si>
  <si>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</si>
  <si>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</si>
  <si>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</si>
  <si>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</si>
  <si>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</si>
  <si>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</si>
  <si>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</si>
  <si>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</si>
  <si>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</si>
  <si>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</si>
  <si>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</si>
  <si>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</si>
  <si>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C016</t>
  </si>
  <si>
    <t>Sanjay</t>
  </si>
  <si>
    <t>ORD042</t>
  </si>
  <si>
    <t>C017</t>
  </si>
  <si>
    <t>Swathi</t>
  </si>
  <si>
    <t>ORD043</t>
  </si>
  <si>
    <t>C018</t>
  </si>
  <si>
    <t>Manoj</t>
  </si>
  <si>
    <t>ORD044</t>
  </si>
  <si>
    <t>C019</t>
  </si>
  <si>
    <t>Deepa</t>
  </si>
  <si>
    <t>ORD045</t>
  </si>
  <si>
    <t>C020</t>
  </si>
  <si>
    <t>Varun</t>
  </si>
  <si>
    <t>ORD046</t>
  </si>
  <si>
    <t>Returned</t>
  </si>
  <si>
    <t>ORD047</t>
  </si>
  <si>
    <t>ORD048</t>
  </si>
  <si>
    <t>Cancelled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</si>
  <si>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</si>
  <si>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</si>
  <si>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</si>
  <si>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</si>
  <si>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</si>
  <si>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</si>
  <si>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</si>
  <si>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</si>
  <si>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</si>
  <si>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</si>
  <si>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</si>
  <si>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</si>
  <si>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KPI</t>
  </si>
  <si>
    <t>Value</t>
  </si>
  <si>
    <t>PROFIT ANALYSIS</t>
  </si>
  <si>
    <t>CUSTOMER ANALYSIS</t>
  </si>
  <si>
    <t>OPERATION ANALYSIS</t>
  </si>
  <si>
    <t>Total Revenue</t>
  </si>
  <si>
    <t>profit by region</t>
  </si>
  <si>
    <t>new vs returning customer</t>
  </si>
  <si>
    <t>order_status</t>
  </si>
  <si>
    <t>Total Discount</t>
  </si>
  <si>
    <t>Sum of Profit</t>
  </si>
  <si>
    <t>Count of Order_ID</t>
  </si>
  <si>
    <t>Total Net Sales</t>
  </si>
  <si>
    <t>New Customer</t>
  </si>
  <si>
    <t>Total Cost</t>
  </si>
  <si>
    <t>Returning Customer</t>
  </si>
  <si>
    <t>Total Profit</t>
  </si>
  <si>
    <t>Grand Total</t>
  </si>
  <si>
    <t>Profit _Margin</t>
  </si>
  <si>
    <t>Total Orders</t>
  </si>
  <si>
    <t>net sales by customer</t>
  </si>
  <si>
    <t>Average Order Value</t>
  </si>
  <si>
    <t>Sum of Net_Sales</t>
  </si>
  <si>
    <t>delivery category</t>
  </si>
  <si>
    <t>Average Delivery Days</t>
  </si>
  <si>
    <t>profit by category</t>
  </si>
  <si>
    <t>Return Rate</t>
  </si>
  <si>
    <t>Delayed</t>
  </si>
  <si>
    <t>Fast</t>
  </si>
  <si>
    <t>Normal</t>
  </si>
  <si>
    <t>SALES ANALYSIS</t>
  </si>
  <si>
    <t>net sales by region</t>
  </si>
  <si>
    <t>Average Delivery Days by Region</t>
  </si>
  <si>
    <t>profit by product</t>
  </si>
  <si>
    <t>Average of Delivery_Days</t>
  </si>
  <si>
    <t>net sales by category</t>
  </si>
  <si>
    <t>Return Rate by Product</t>
  </si>
  <si>
    <t>profit_margin by category</t>
  </si>
  <si>
    <t>net sales by product</t>
  </si>
  <si>
    <t>profit by customer</t>
  </si>
  <si>
    <t>net sales by months</t>
  </si>
  <si>
    <t>Jan</t>
  </si>
  <si>
    <t>Feb</t>
  </si>
  <si>
    <t>Mar</t>
  </si>
  <si>
    <t>Apr</t>
  </si>
  <si>
    <t>May</t>
  </si>
  <si>
    <t>E-COMMERCE SALES &amp; OPERATIONS DASHBOARD</t>
  </si>
  <si>
    <t>TOTAL REVENUE</t>
  </si>
  <si>
    <t>TOTAL DISCOUNT</t>
  </si>
  <si>
    <t>TOTAL NET SALES</t>
  </si>
  <si>
    <t>TOTAL COST</t>
  </si>
  <si>
    <t>TOTAL PROFIT</t>
  </si>
  <si>
    <t>PROFIT_MARGIN</t>
  </si>
  <si>
    <t>TOTAL ORDERS</t>
  </si>
  <si>
    <t>AVERAGE ORDER VALUE</t>
  </si>
  <si>
    <t>AVERAGE DELIVERY DAYS</t>
  </si>
  <si>
    <t>RETURN RATE</t>
  </si>
  <si>
    <t>E-COMMERCE SALES &amp; OPERATIONS |EXCEL PORFOLIO PROJECT</t>
  </si>
  <si>
    <t>E-COMMERCE SALES &amp; OPERATIONS ANALYSIS |EXCEL|PIVOT- TABLES|PIVOT- CHARTS|SLICERS</t>
  </si>
</sst>
</file>

<file path=xl/styles.xml><?xml version="1.0" encoding="utf-8"?>
<styleSheet xmlns="http://schemas.openxmlformats.org/spreadsheetml/2006/main">
  <numFmts count="1">
    <numFmt numFmtId="164" formatCode="_ &quot;₹&quot;\ * #,##0_ ;_ &quot;₹&quot;\ * \-#,##0_ ;_ &quot;₹&quot;\ * &quot;-&quot;_ ;_ @_ "/>
  </numFmts>
  <fonts count="10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color rgb="FF000000"/>
      <name val="Arial Unicode MS"/>
    </font>
    <font>
      <b/>
      <sz val="11"/>
      <color rgb="FFFFFFFF"/>
      <name val="Calibri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4F81BD"/>
        <bgColor rgb="FF4F81BD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/>
    <xf numFmtId="15" fontId="1" fillId="3" borderId="1" xfId="0" applyNumberFormat="1" applyFont="1" applyFill="1" applyBorder="1" applyAlignment="1"/>
    <xf numFmtId="9" fontId="1" fillId="3" borderId="1" xfId="0" applyNumberFormat="1" applyFont="1" applyFill="1" applyBorder="1" applyAlignment="1"/>
    <xf numFmtId="0" fontId="1" fillId="3" borderId="2" xfId="0" applyFont="1" applyFill="1" applyBorder="1" applyAlignment="1"/>
    <xf numFmtId="0" fontId="1" fillId="2" borderId="1" xfId="0" applyFont="1" applyFill="1" applyBorder="1" applyAlignment="1"/>
    <xf numFmtId="15" fontId="2" fillId="2" borderId="1" xfId="0" applyNumberFormat="1" applyFont="1" applyFill="1" applyBorder="1" applyAlignment="1"/>
    <xf numFmtId="9" fontId="1" fillId="2" borderId="1" xfId="0" applyNumberFormat="1" applyFont="1" applyFill="1" applyBorder="1" applyAlignment="1"/>
    <xf numFmtId="0" fontId="1" fillId="2" borderId="2" xfId="0" applyFont="1" applyFill="1" applyBorder="1" applyAlignment="1"/>
    <xf numFmtId="15" fontId="1" fillId="2" borderId="1" xfId="0" applyNumberFormat="1" applyFont="1" applyFill="1" applyBorder="1" applyAlignment="1"/>
    <xf numFmtId="15" fontId="2" fillId="3" borderId="1" xfId="0" applyNumberFormat="1" applyFont="1" applyFill="1" applyBorder="1" applyAlignment="1"/>
    <xf numFmtId="0" fontId="1" fillId="3" borderId="3" xfId="0" applyFont="1" applyFill="1" applyBorder="1" applyAlignment="1"/>
    <xf numFmtId="15" fontId="2" fillId="3" borderId="3" xfId="0" applyNumberFormat="1" applyFont="1" applyFill="1" applyBorder="1" applyAlignment="1"/>
    <xf numFmtId="9" fontId="1" fillId="3" borderId="3" xfId="0" applyNumberFormat="1" applyFont="1" applyFill="1" applyBorder="1" applyAlignment="1"/>
    <xf numFmtId="0" fontId="1" fillId="3" borderId="0" xfId="0" applyFont="1" applyFill="1" applyBorder="1" applyAlignment="1"/>
    <xf numFmtId="0" fontId="3" fillId="4" borderId="4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4" fillId="0" borderId="0" xfId="0" applyFont="1"/>
    <xf numFmtId="164" fontId="3" fillId="4" borderId="6" xfId="0" applyNumberFormat="1" applyFont="1" applyFill="1" applyBorder="1" applyAlignment="1"/>
    <xf numFmtId="164" fontId="1" fillId="3" borderId="3" xfId="0" applyNumberFormat="1" applyFont="1" applyFill="1" applyBorder="1" applyAlignment="1"/>
    <xf numFmtId="9" fontId="3" fillId="4" borderId="6" xfId="0" applyNumberFormat="1" applyFont="1" applyFill="1" applyBorder="1" applyAlignment="1"/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1" fillId="3" borderId="3" xfId="0" applyNumberFormat="1" applyFont="1" applyFill="1" applyBorder="1" applyAlignment="1"/>
    <xf numFmtId="0" fontId="6" fillId="0" borderId="0" xfId="0" applyFont="1" applyFill="1" applyAlignment="1"/>
    <xf numFmtId="0" fontId="0" fillId="0" borderId="0" xfId="0" applyNumberFormat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6" fillId="6" borderId="7" xfId="0" applyFont="1" applyFill="1" applyBorder="1" applyAlignment="1">
      <alignment horizontal="center" wrapText="1"/>
    </xf>
    <xf numFmtId="164" fontId="0" fillId="6" borderId="7" xfId="0" applyNumberFormat="1" applyFill="1" applyBorder="1"/>
    <xf numFmtId="0" fontId="0" fillId="6" borderId="7" xfId="0" applyFill="1" applyBorder="1" applyAlignment="1">
      <alignment horizontal="center"/>
    </xf>
    <xf numFmtId="0" fontId="0" fillId="6" borderId="7" xfId="0" applyFill="1" applyBorder="1"/>
    <xf numFmtId="9" fontId="0" fillId="6" borderId="7" xfId="0" applyNumberFormat="1" applyFill="1" applyBorder="1"/>
    <xf numFmtId="0" fontId="5" fillId="0" borderId="0" xfId="0" applyFont="1" applyFill="1" applyBorder="1" applyAlignment="1"/>
    <xf numFmtId="0" fontId="8" fillId="5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 &quot;₹&quot;\ * #,##0_ ;_ &quot;₹&quot;\ * \-#,##0_ ;_ &quot;₹&quot;\ * &quot;-&quot;_ ;_ @_ 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/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3" formatCode="0%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20" formatCode="dd/mmm/yy"/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  <border diagonalUp="0" diagonalDown="0">
        <left/>
        <right style="thin">
          <color rgb="FFFFFFFF"/>
        </right>
        <top/>
        <bottom style="thin">
          <color rgb="FFFFFFFF"/>
        </bottom>
        <vertical/>
        <horizontal/>
      </border>
    </dxf>
    <dxf>
      <border outline="0">
        <right style="thin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BE5F1"/>
          <bgColor rgb="FFDBE5F1"/>
        </patternFill>
      </fill>
      <alignment horizontal="general" vertical="bottom" textRotation="0" wrapText="0" indent="0" relativeIndent="255" justifyLastLine="0" shrinkToFit="0" readingOrder="0"/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[E-Commerce_Sales_Operations_Analysis.xlsx.xlsx]Analysis!netsalesbycategory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Category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Analysis!$A$25:$A$28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Analysis!$B$25:$B$28</c:f>
              <c:numCache>
                <c:formatCode>_ "₹"\ * #,##0_ ;_ "₹"\ * \-#,##0_ ;_ "₹"\ * "-"_ ;_ @_ </c:formatCode>
                <c:ptCount val="3"/>
                <c:pt idx="0">
                  <c:v>1136955</c:v>
                </c:pt>
                <c:pt idx="1">
                  <c:v>410250</c:v>
                </c:pt>
                <c:pt idx="2">
                  <c:v>170412.5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A5-44A0-92B8-183BB2A4F76E}"/>
            </c:ext>
          </c:extLst>
        </c:ser>
        <c:dLbls/>
        <c:gapWidth val="219"/>
        <c:overlap val="-27"/>
        <c:axId val="144152064"/>
        <c:axId val="144153600"/>
      </c:barChart>
      <c:catAx>
        <c:axId val="14415206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53600"/>
        <c:crosses val="autoZero"/>
        <c:auto val="1"/>
        <c:lblAlgn val="ctr"/>
        <c:lblOffset val="100"/>
      </c:catAx>
      <c:valAx>
        <c:axId val="14415360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5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[E-Commerce_Sales_Operations_Analysis.xlsx.xlsx]Analysis!netsalesbyregion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Region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Analysis!$A$17:$A$21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Analysis!$B$17:$B$21</c:f>
              <c:numCache>
                <c:formatCode>_ "₹"\ * #,##0_ ;_ "₹"\ * \-#,##0_ ;_ "₹"\ * "-"_ ;_ @_ </c:formatCode>
                <c:ptCount val="4"/>
                <c:pt idx="0">
                  <c:v>224550</c:v>
                </c:pt>
                <c:pt idx="1">
                  <c:v>341150</c:v>
                </c:pt>
                <c:pt idx="2">
                  <c:v>576237.5</c:v>
                </c:pt>
                <c:pt idx="3">
                  <c:v>575680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DF-411B-84BC-0B8B87448264}"/>
            </c:ext>
          </c:extLst>
        </c:ser>
        <c:dLbls/>
        <c:gapWidth val="219"/>
        <c:overlap val="-27"/>
        <c:axId val="152070784"/>
        <c:axId val="155591040"/>
      </c:barChart>
      <c:catAx>
        <c:axId val="15207078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1040"/>
        <c:crosses val="autoZero"/>
        <c:auto val="1"/>
        <c:lblAlgn val="ctr"/>
        <c:lblOffset val="100"/>
      </c:catAx>
      <c:valAx>
        <c:axId val="1555910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7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[E-Commerce_Sales_Operations_Analysis.xlsx.xlsx]Analysis!profitbycategory</c:name>
    <c:fmtId val="4"/>
  </c:pivotSource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Analysis!$E$11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Analysis!$D$12:$D$15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Analysis!$E$12:$E$15</c:f>
              <c:numCache>
                <c:formatCode>_ "₹"\ * #,##0_ ;_ "₹"\ * \-#,##0_ ;_ "₹"\ * "-"_ ;_ @_ </c:formatCode>
                <c:ptCount val="3"/>
                <c:pt idx="0">
                  <c:v>287355</c:v>
                </c:pt>
                <c:pt idx="1">
                  <c:v>113750</c:v>
                </c:pt>
                <c:pt idx="2">
                  <c:v>75512.5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172-4802-8C3E-6447B1365B87}"/>
            </c:ext>
          </c:extLst>
        </c:ser>
        <c:dLbls/>
        <c:overlap val="100"/>
        <c:axId val="91650304"/>
        <c:axId val="91652096"/>
      </c:barChart>
      <c:catAx>
        <c:axId val="9165030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2096"/>
        <c:crosses val="autoZero"/>
        <c:auto val="1"/>
        <c:lblAlgn val="ctr"/>
        <c:lblOffset val="100"/>
      </c:catAx>
      <c:valAx>
        <c:axId val="916520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[E-Commerce_Sales_Operations_Analysis.xlsx.xlsx]Analysis!netsalesbyproduct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Product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Analysis!$A$32:$A$40</c:f>
              <c:strCache>
                <c:ptCount val="8"/>
                <c:pt idx="0">
                  <c:v>Desk</c:v>
                </c:pt>
                <c:pt idx="1">
                  <c:v>Key 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Note Book</c:v>
                </c:pt>
                <c:pt idx="6">
                  <c:v>Office Chair</c:v>
                </c:pt>
                <c:pt idx="7">
                  <c:v>Printer Paper</c:v>
                </c:pt>
              </c:strCache>
            </c:strRef>
          </c:cat>
          <c:val>
            <c:numRef>
              <c:f>Analysis!$B$32:$B$40</c:f>
              <c:numCache>
                <c:formatCode>_ "₹"\ * #,##0_ ;_ "₹"\ * \-#,##0_ ;_ "₹"\ * "-"_ ;_ @_ </c:formatCode>
                <c:ptCount val="8"/>
                <c:pt idx="0">
                  <c:v>231750</c:v>
                </c:pt>
                <c:pt idx="1">
                  <c:v>56175</c:v>
                </c:pt>
                <c:pt idx="2">
                  <c:v>716100</c:v>
                </c:pt>
                <c:pt idx="3">
                  <c:v>325080</c:v>
                </c:pt>
                <c:pt idx="4">
                  <c:v>39600</c:v>
                </c:pt>
                <c:pt idx="5">
                  <c:v>63875</c:v>
                </c:pt>
                <c:pt idx="6">
                  <c:v>178500</c:v>
                </c:pt>
                <c:pt idx="7">
                  <c:v>106537.5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6E-4B74-9034-588E60F217E3}"/>
            </c:ext>
          </c:extLst>
        </c:ser>
        <c:dLbls/>
        <c:gapWidth val="219"/>
        <c:overlap val="-27"/>
        <c:axId val="91680768"/>
        <c:axId val="91682304"/>
      </c:barChart>
      <c:catAx>
        <c:axId val="9168076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2304"/>
        <c:crosses val="autoZero"/>
        <c:auto val="1"/>
        <c:lblAlgn val="ctr"/>
        <c:lblOffset val="100"/>
      </c:catAx>
      <c:valAx>
        <c:axId val="916823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[E-Commerce_Sales_Operations_Analysis.xlsx.xlsx]Analysis!orderstatus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E72-4D33-A014-0AD936A0D922}"/>
              </c:ext>
            </c:extLst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E72-4D33-A014-0AD936A0D922}"/>
              </c:ext>
            </c:extLst>
          </c:dPt>
          <c:dPt>
            <c:idx val="2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E72-4D33-A014-0AD936A0D922}"/>
              </c:ext>
            </c:extLst>
          </c:dPt>
          <c:cat>
            <c:strRef>
              <c:f>Analysis!$K$4:$K$7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Analysis!$L$4:$L$7</c:f>
              <c:numCache>
                <c:formatCode>General</c:formatCode>
                <c:ptCount val="3"/>
                <c:pt idx="0">
                  <c:v>1</c:v>
                </c:pt>
                <c:pt idx="1">
                  <c:v>57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E72-4D33-A014-0AD936A0D922}"/>
            </c:ext>
          </c:extLst>
        </c:ser>
        <c:dLbls/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[E-Commerce_Sales_Operations_Analysis.xlsx.xlsx]Analysis!deliverycategory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Performance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Analysis!$L$10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Analysis!$K$11:$K$14</c:f>
              <c:strCache>
                <c:ptCount val="3"/>
                <c:pt idx="0">
                  <c:v>Delayed</c:v>
                </c:pt>
                <c:pt idx="1">
                  <c:v>Fast</c:v>
                </c:pt>
                <c:pt idx="2">
                  <c:v>Normal</c:v>
                </c:pt>
              </c:strCache>
            </c:strRef>
          </c:cat>
          <c:val>
            <c:numRef>
              <c:f>Analysis!$L$11:$L$14</c:f>
              <c:numCache>
                <c:formatCode>General</c:formatCode>
                <c:ptCount val="3"/>
                <c:pt idx="0">
                  <c:v>14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CA-42B9-A51D-08E6A2C1B987}"/>
            </c:ext>
          </c:extLst>
        </c:ser>
        <c:dLbls/>
        <c:gapWidth val="219"/>
        <c:overlap val="-27"/>
        <c:axId val="93505792"/>
        <c:axId val="94224384"/>
      </c:barChart>
      <c:catAx>
        <c:axId val="9350579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24384"/>
        <c:crosses val="autoZero"/>
        <c:auto val="1"/>
        <c:lblAlgn val="ctr"/>
        <c:lblOffset val="100"/>
      </c:catAx>
      <c:valAx>
        <c:axId val="9422438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[E-Commerce_Sales_Operations_Analysis.xlsx.xlsx]Analysis!newvsreturningcustomer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vs Returning Customers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AB8-421D-8DF5-28AC29EF1A4C}"/>
              </c:ext>
            </c:extLst>
          </c:dPt>
          <c:dPt>
            <c:idx val="1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AB8-421D-8DF5-28AC29EF1A4C}"/>
              </c:ext>
            </c:extLst>
          </c:dPt>
          <c:cat>
            <c:strRef>
              <c:f>Analysis!$G$4:$G$6</c:f>
              <c:strCache>
                <c:ptCount val="2"/>
                <c:pt idx="0">
                  <c:v>New Customer</c:v>
                </c:pt>
                <c:pt idx="1">
                  <c:v>Returning Customer</c:v>
                </c:pt>
              </c:strCache>
            </c:strRef>
          </c:cat>
          <c:val>
            <c:numRef>
              <c:f>Analysis!$H$4:$H$6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AB8-421D-8DF5-28AC29EF1A4C}"/>
            </c:ext>
          </c:extLst>
        </c:ser>
        <c:dLbls/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-2590800</xdr:colOff>
      <xdr:row>107</xdr:row>
      <xdr:rowOff>104775</xdr:rowOff>
    </xdr:from>
    <xdr:to>
      <xdr:col>0</xdr:col>
      <xdr:colOff>-762000</xdr:colOff>
      <xdr:row>115</xdr:row>
      <xdr:rowOff>104775</xdr:rowOff>
    </xdr:to>
    <xdr:sp macro="" textlink="">
      <xdr:nvSpPr>
        <xdr:cNvPr id="2" name="Rectangle 1"/>
        <xdr:cNvSpPr>
          <a:spLocks noTextEdit="1"/>
        </xdr:cNvSpPr>
      </xdr:nvSpPr>
      <xdr:spPr>
        <a:xfrm>
          <a:off x="66675" y="19335750"/>
          <a:ext cx="1828800" cy="15240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endParaRPr sz="1100"/>
        </a:p>
      </xdr:txBody>
    </xdr:sp>
    <xdr:clientData/>
  </xdr:twoCellAnchor>
  <xdr:twoCellAnchor editAs="oneCell">
    <xdr:from>
      <xdr:col>4</xdr:col>
      <xdr:colOff>57150</xdr:colOff>
      <xdr:row>57</xdr:row>
      <xdr:rowOff>180975</xdr:rowOff>
    </xdr:from>
    <xdr:to>
      <xdr:col>5</xdr:col>
      <xdr:colOff>1047750</xdr:colOff>
      <xdr:row>66</xdr:row>
      <xdr:rowOff>28575</xdr:rowOff>
    </xdr:to>
    <xdr:sp macro="" textlink="">
      <xdr:nvSpPr>
        <xdr:cNvPr id="3" name="Rectangle 2"/>
        <xdr:cNvSpPr>
          <a:spLocks noTextEdit="1"/>
        </xdr:cNvSpPr>
      </xdr:nvSpPr>
      <xdr:spPr>
        <a:xfrm>
          <a:off x="3657600" y="11039475"/>
          <a:ext cx="1828800" cy="15621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endParaRPr sz="1100"/>
        </a:p>
      </xdr:txBody>
    </xdr:sp>
    <xdr:clientData/>
  </xdr:twoCellAnchor>
  <xdr:twoCellAnchor editAs="oneCell">
    <xdr:from>
      <xdr:col>0</xdr:col>
      <xdr:colOff>790575</xdr:colOff>
      <xdr:row>57</xdr:row>
      <xdr:rowOff>161925</xdr:rowOff>
    </xdr:from>
    <xdr:to>
      <xdr:col>2</xdr:col>
      <xdr:colOff>447675</xdr:colOff>
      <xdr:row>66</xdr:row>
      <xdr:rowOff>38100</xdr:rowOff>
    </xdr:to>
    <xdr:sp macro="" textlink="">
      <xdr:nvSpPr>
        <xdr:cNvPr id="4" name="Rectangle 3"/>
        <xdr:cNvSpPr>
          <a:spLocks noTextEdit="1"/>
        </xdr:cNvSpPr>
      </xdr:nvSpPr>
      <xdr:spPr>
        <a:xfrm>
          <a:off x="790575" y="11020425"/>
          <a:ext cx="1828800" cy="159067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endParaRPr sz="1100"/>
        </a:p>
      </xdr:txBody>
    </xdr:sp>
    <xdr:clientData/>
  </xdr:twoCellAnchor>
  <xdr:twoCellAnchor editAs="oneCell">
    <xdr:from>
      <xdr:col>6</xdr:col>
      <xdr:colOff>266700</xdr:colOff>
      <xdr:row>58</xdr:row>
      <xdr:rowOff>9525</xdr:rowOff>
    </xdr:from>
    <xdr:to>
      <xdr:col>7</xdr:col>
      <xdr:colOff>857250</xdr:colOff>
      <xdr:row>71</xdr:row>
      <xdr:rowOff>171450</xdr:rowOff>
    </xdr:to>
    <xdr:sp macro="" textlink="">
      <xdr:nvSpPr>
        <xdr:cNvPr id="5" name="Rectangle 4"/>
        <xdr:cNvSpPr>
          <a:spLocks noTextEdit="1"/>
        </xdr:cNvSpPr>
      </xdr:nvSpPr>
      <xdr:spPr>
        <a:xfrm>
          <a:off x="5819775" y="11058525"/>
          <a:ext cx="1828800" cy="2638425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endParaRPr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10</xdr:row>
      <xdr:rowOff>0</xdr:rowOff>
    </xdr:from>
    <xdr:to>
      <xdr:col>3</xdr:col>
      <xdr:colOff>409575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488F119-9A29-F1B6-14DE-545BFF3B2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21</xdr:row>
      <xdr:rowOff>0</xdr:rowOff>
    </xdr:from>
    <xdr:to>
      <xdr:col>3</xdr:col>
      <xdr:colOff>400050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A21397C-275E-24D3-4EFA-C9F7CBCF2C5A}"/>
            </a:ext>
            <a:ext uri="{147F2762-F138-4A5C-976F-8EAC2B608ADB}">
              <a16:predDERef xmlns:a16="http://schemas.microsoft.com/office/drawing/2014/main" xmlns="" pred="{2488F119-9A29-F1B6-14DE-545BFF3B2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571500</xdr:colOff>
      <xdr:row>9</xdr:row>
      <xdr:rowOff>123825</xdr:rowOff>
    </xdr:from>
    <xdr:to>
      <xdr:col>7</xdr:col>
      <xdr:colOff>142875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A9E08CCD-C144-D3AA-A9A2-99A654E17618}"/>
            </a:ext>
            <a:ext uri="{147F2762-F138-4A5C-976F-8EAC2B608ADB}">
              <a16:predDERef xmlns:a16="http://schemas.microsoft.com/office/drawing/2014/main" xmlns="" pred="{1A21397C-275E-24D3-4EFA-C9F7CBCF2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542925</xdr:colOff>
      <xdr:row>21</xdr:row>
      <xdr:rowOff>0</xdr:rowOff>
    </xdr:from>
    <xdr:to>
      <xdr:col>7</xdr:col>
      <xdr:colOff>114300</xdr:colOff>
      <xdr:row>30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DA915F3D-929B-8CA6-2003-FCFEA5D151FD}"/>
            </a:ext>
            <a:ext uri="{147F2762-F138-4A5C-976F-8EAC2B608ADB}">
              <a16:predDERef xmlns:a16="http://schemas.microsoft.com/office/drawing/2014/main" xmlns="" pred="{A9E08CCD-C144-D3AA-A9A2-99A654E17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390525</xdr:colOff>
      <xdr:row>31</xdr:row>
      <xdr:rowOff>19050</xdr:rowOff>
    </xdr:from>
    <xdr:to>
      <xdr:col>3</xdr:col>
      <xdr:colOff>371475</xdr:colOff>
      <xdr:row>42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95002346-FD76-7078-D0DD-ED64C8409FEF}"/>
            </a:ext>
            <a:ext uri="{147F2762-F138-4A5C-976F-8EAC2B608ADB}">
              <a16:predDERef xmlns:a16="http://schemas.microsoft.com/office/drawing/2014/main" xmlns="" pred="{DA915F3D-929B-8CA6-2003-FCFEA5D15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581025</xdr:colOff>
      <xdr:row>30</xdr:row>
      <xdr:rowOff>180975</xdr:rowOff>
    </xdr:from>
    <xdr:to>
      <xdr:col>7</xdr:col>
      <xdr:colOff>142875</xdr:colOff>
      <xdr:row>41</xdr:row>
      <xdr:rowOff>171450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318CED96-650C-33CE-FD94-FEC6A7E3BD78}"/>
            </a:ext>
            <a:ext uri="{147F2762-F138-4A5C-976F-8EAC2B608ADB}">
              <a16:predDERef xmlns:a16="http://schemas.microsoft.com/office/drawing/2014/main" xmlns="" pred="{95002346-FD76-7078-D0DD-ED64C8409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285750</xdr:colOff>
      <xdr:row>42</xdr:row>
      <xdr:rowOff>76200</xdr:rowOff>
    </xdr:from>
    <xdr:to>
      <xdr:col>3</xdr:col>
      <xdr:colOff>323850</xdr:colOff>
      <xdr:row>52</xdr:row>
      <xdr:rowOff>0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xmlns="" id="{35B47639-A591-C2C7-2D7E-29E6A98C1AB5}"/>
            </a:ext>
            <a:ext uri="{147F2762-F138-4A5C-976F-8EAC2B608ADB}">
              <a16:predDERef xmlns:a16="http://schemas.microsoft.com/office/drawing/2014/main" xmlns="" pred="{318CED96-650C-33CE-FD94-FEC6A7E3B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320.861231481482" createdVersion="8" refreshedVersion="8" minRefreshableVersion="3" recordCount="60">
  <cacheSource type="worksheet">
    <worksheetSource name="Ecommerce_data"/>
  </cacheSource>
  <cacheFields count="24">
    <cacheField name="Order_ID" numFmtId="0">
      <sharedItems/>
    </cacheField>
    <cacheField name="Order_Date" numFmtId="15">
      <sharedItems containsSemiMixedTypes="0" containsNonDate="0" containsDate="1" containsString="0" minDate="2026-01-05T00:00:00" maxDate="2026-05-11T00:00:00" count="60">
        <d v="2026-01-05T00:00:00"/>
        <d v="2026-01-06T00:00:00"/>
        <d v="2026-01-08T00:00:00"/>
        <d v="2026-01-10T00:00:00"/>
        <d v="2026-01-12T00:00:00"/>
        <d v="2026-01-15T00:00:00"/>
        <d v="2026-01-18T00:00:00"/>
        <d v="2026-01-20T00:00:00"/>
        <d v="2026-01-22T00:00:00"/>
        <d v="2026-01-25T00:00:00"/>
        <d v="2026-01-28T00:00:00"/>
        <d v="2026-01-30T00:00:00"/>
        <d v="2026-02-02T00:00:00"/>
        <d v="2026-02-04T00:00:00"/>
        <d v="2026-02-06T00:00:00"/>
        <d v="2026-02-08T00:00:00"/>
        <d v="2026-02-10T00:00:00"/>
        <d v="2026-02-12T00:00:00"/>
        <d v="2026-02-15T00:00:00"/>
        <d v="2026-02-18T00:00:00"/>
        <d v="2026-02-20T00:00:00"/>
        <d v="2026-02-22T00:00:00"/>
        <d v="2026-02-24T00:00:00"/>
        <d v="2026-02-26T00:00:00"/>
        <d v="2026-02-28T00:00:00"/>
        <d v="2026-03-02T00:00:00"/>
        <d v="2026-03-04T00:00:00"/>
        <d v="2026-03-06T00:00:00"/>
        <d v="2026-03-08T00:00:00"/>
        <d v="2026-03-10T00:00:00"/>
        <d v="2026-03-12T00:00:00"/>
        <d v="2026-03-14T00:00:00"/>
        <d v="2026-03-16T00:00:00"/>
        <d v="2026-03-18T00:00:00"/>
        <d v="2026-03-20T00:00:00"/>
        <d v="2026-03-22T00:00:00"/>
        <d v="2026-03-24T00:00:00"/>
        <d v="2026-03-26T00:00:00"/>
        <d v="2026-03-28T00:00:00"/>
        <d v="2026-03-30T00:00:00"/>
        <d v="2026-04-02T00:00:00"/>
        <d v="2026-04-04T00:00:00"/>
        <d v="2026-04-06T00:00:00"/>
        <d v="2026-04-08T00:00:00"/>
        <d v="2026-04-10T00:00:00"/>
        <d v="2026-04-12T00:00:00"/>
        <d v="2026-04-14T00:00:00"/>
        <d v="2026-04-16T00:00:00"/>
        <d v="2026-04-18T00:00:00"/>
        <d v="2026-04-20T00:00:00"/>
        <d v="2026-04-22T00:00:00"/>
        <d v="2026-04-24T00:00:00"/>
        <d v="2026-04-26T00:00:00"/>
        <d v="2026-04-28T00:00:00"/>
        <d v="2026-04-30T00:00:00"/>
        <d v="2026-05-02T00:00:00"/>
        <d v="2026-05-04T00:00:00"/>
        <d v="2026-05-06T00:00:00"/>
        <d v="2026-05-08T00:00:00"/>
        <d v="2026-05-10T00:00:00"/>
      </sharedItems>
    </cacheField>
    <cacheField name="Customer_ID" numFmtId="0">
      <sharedItems/>
    </cacheField>
    <cacheField name="Customer_Name" numFmtId="0">
      <sharedItems count="20">
        <s v="RaviKumar"/>
        <s v="Sita"/>
        <s v="Raj"/>
        <s v="Priya"/>
        <s v="Ravi"/>
        <s v="Anita"/>
        <s v="Kiran"/>
        <s v="Arjun"/>
        <s v="Meena"/>
        <s v="Ram "/>
        <s v="Neha"/>
        <s v="Vikram"/>
        <s v="Pooja"/>
        <s v="Amit"/>
        <s v="Divya"/>
        <s v="Sanjay"/>
        <s v="Swathi"/>
        <s v="Manoj"/>
        <s v="Deepa"/>
        <s v="Varun"/>
      </sharedItems>
    </cacheField>
    <cacheField name="Region" numFmtId="0">
      <sharedItems count="4">
        <s v="South"/>
        <s v="North"/>
        <s v="West"/>
        <s v="East"/>
      </sharedItems>
    </cacheField>
    <cacheField name="Category" numFmtId="0">
      <sharedItems count="3">
        <s v="Electronics"/>
        <s v="Furniture"/>
        <s v="Stationery"/>
      </sharedItems>
    </cacheField>
    <cacheField name="Product" numFmtId="0">
      <sharedItems count="8">
        <s v="Laptop"/>
        <s v="Office Chair"/>
        <s v="Monitor"/>
        <s v="Note Book"/>
        <s v="Key Board"/>
        <s v="Desk"/>
        <s v="Mouse"/>
        <s v="Printer Paper"/>
      </sharedItems>
    </cacheField>
    <cacheField name="Quantity" numFmtId="0">
      <sharedItems containsSemiMixedTypes="0" containsString="0" containsNumber="1" containsInteger="1" minValue="1" maxValue="60"/>
    </cacheField>
    <cacheField name="Unit_Price" numFmtId="0">
      <sharedItems containsSemiMixedTypes="0" containsString="0" containsNumber="1" containsInteger="1" minValue="250" maxValue="55000"/>
    </cacheField>
    <cacheField name="Discount" numFmtId="9">
      <sharedItems containsSemiMixedTypes="0" containsString="0" containsNumber="1" minValue="0" maxValue="0.1"/>
    </cacheField>
    <cacheField name="Payment_Method" numFmtId="0">
      <sharedItems/>
    </cacheField>
    <cacheField name="Order_Status" numFmtId="0">
      <sharedItems count="3">
        <s v="Delivered"/>
        <s v="Returned"/>
        <s v="Cancelled"/>
      </sharedItems>
    </cacheField>
    <cacheField name="Delivery_Days" numFmtId="0">
      <sharedItems containsSemiMixedTypes="0" containsString="0" containsNumber="1" containsInteger="1" minValue="0" maxValue="8"/>
    </cacheField>
    <cacheField name="Revenue" numFmtId="164">
      <sharedItems containsSemiMixedTypes="0" containsString="0" containsNumber="1" containsInteger="1" minValue="4000" maxValue="110000"/>
    </cacheField>
    <cacheField name="Discount_Amount" numFmtId="164">
      <sharedItems containsSemiMixedTypes="0" containsString="0" containsNumber="1" minValue="0" maxValue="11000"/>
    </cacheField>
    <cacheField name="Net_Sales" numFmtId="164">
      <sharedItems containsSemiMixedTypes="0" containsString="0" containsNumber="1" minValue="4000" maxValue="104500"/>
    </cacheField>
    <cacheField name="Unit_Cost" numFmtId="164">
      <sharedItems containsSemiMixedTypes="0" containsString="0" containsNumber="1" containsInteger="1" minValue="120" maxValue="40000"/>
    </cacheField>
    <cacheField name="Total_Cost" numFmtId="164">
      <sharedItems containsSemiMixedTypes="0" containsString="0" containsNumber="1" containsInteger="1" minValue="2250" maxValue="80000"/>
    </cacheField>
    <cacheField name="Profit" numFmtId="164">
      <sharedItems containsSemiMixedTypes="0" containsString="0" containsNumber="1" minValue="1750" maxValue="24500"/>
    </cacheField>
    <cacheField name="Profit_Margin" numFmtId="9">
      <sharedItems containsSemiMixedTypes="0" containsString="0" containsNumber="1" minValue="0.19191919191919191" maxValue="0.52"/>
    </cacheField>
    <cacheField name="Customer_Type" numFmtId="0">
      <sharedItems count="2">
        <s v="New Customer"/>
        <s v="Returning Customer"/>
      </sharedItems>
    </cacheField>
    <cacheField name="Delivery_Category" numFmtId="0">
      <sharedItems count="3">
        <s v="Fast"/>
        <s v="Normal"/>
        <s v="Delayed"/>
      </sharedItems>
    </cacheField>
    <cacheField name="Return_Flag" numFmtId="0">
      <sharedItems/>
    </cacheField>
    <cacheField name="Order_Month" numFmtId="0">
      <sharedItems count="5">
        <s v="Jan"/>
        <s v="Feb"/>
        <s v="Mar"/>
        <s v="Apr"/>
        <s v="May"/>
      </sharedItems>
    </cacheField>
  </cacheFields>
  <extLst>
    <ext xmlns:x14="http://schemas.microsoft.com/office/spreadsheetml/2009/9/main" uri="{725AE2AE-9491-48be-B2B4-4EB974FC3084}">
      <x14:pivotCacheDefinition pivotCacheId="1847370014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ORD001"/>
    <x v="0"/>
    <s v="C001"/>
    <x v="0"/>
    <x v="0"/>
    <x v="0"/>
    <x v="0"/>
    <n v="2"/>
    <n v="55000"/>
    <n v="0.05"/>
    <s v="UPI"/>
    <x v="0"/>
    <n v="3"/>
    <n v="110000"/>
    <n v="5500"/>
    <n v="104500"/>
    <n v="40000"/>
    <n v="80000"/>
    <n v="24500"/>
    <n v="0.23444976076555024"/>
    <x v="0"/>
    <x v="0"/>
    <s v="Not Returned"/>
    <x v="0"/>
  </r>
  <r>
    <s v="ORD002"/>
    <x v="1"/>
    <s v="C002"/>
    <x v="1"/>
    <x v="1"/>
    <x v="1"/>
    <x v="1"/>
    <n v="3"/>
    <n v="8500"/>
    <n v="0.1"/>
    <s v="Card"/>
    <x v="0"/>
    <n v="5"/>
    <n v="25500"/>
    <n v="2550"/>
    <n v="22950"/>
    <n v="5500"/>
    <n v="16500"/>
    <n v="6450"/>
    <n v="0.28104575163398693"/>
    <x v="0"/>
    <x v="1"/>
    <s v="Not Returned"/>
    <x v="0"/>
  </r>
  <r>
    <s v="ORD003"/>
    <x v="2"/>
    <s v="C003"/>
    <x v="2"/>
    <x v="2"/>
    <x v="0"/>
    <x v="2"/>
    <n v="2"/>
    <n v="12000"/>
    <n v="0.05"/>
    <s v="UPI"/>
    <x v="0"/>
    <n v="2"/>
    <n v="24000"/>
    <n v="1200"/>
    <n v="22800"/>
    <n v="8000"/>
    <n v="16000"/>
    <n v="6800"/>
    <n v="0.2982456140350877"/>
    <x v="0"/>
    <x v="0"/>
    <s v="Not Returned"/>
    <x v="0"/>
  </r>
  <r>
    <s v="ORD004"/>
    <x v="3"/>
    <s v="C004"/>
    <x v="3"/>
    <x v="3"/>
    <x v="2"/>
    <x v="3"/>
    <n v="20"/>
    <n v="250"/>
    <n v="0"/>
    <s v="Cash"/>
    <x v="0"/>
    <n v="4"/>
    <n v="5000"/>
    <n v="0"/>
    <n v="5000"/>
    <n v="120"/>
    <n v="2400"/>
    <n v="2600"/>
    <n v="0.52"/>
    <x v="0"/>
    <x v="1"/>
    <s v="Not Returned"/>
    <x v="0"/>
  </r>
  <r>
    <s v="ORD005"/>
    <x v="4"/>
    <s v="C005"/>
    <x v="4"/>
    <x v="0"/>
    <x v="0"/>
    <x v="4"/>
    <n v="4"/>
    <n v="1500"/>
    <n v="0.05"/>
    <s v="UPI"/>
    <x v="0"/>
    <n v="3"/>
    <n v="6000"/>
    <n v="300"/>
    <n v="5700"/>
    <n v="900"/>
    <n v="3600"/>
    <n v="2100"/>
    <n v="0.36842105263157893"/>
    <x v="0"/>
    <x v="0"/>
    <s v="Not Returned"/>
    <x v="0"/>
  </r>
  <r>
    <s v="ORD006"/>
    <x v="5"/>
    <s v="C006"/>
    <x v="5"/>
    <x v="1"/>
    <x v="1"/>
    <x v="5"/>
    <n v="1"/>
    <n v="25000"/>
    <n v="0.08"/>
    <s v="Card"/>
    <x v="0"/>
    <n v="6"/>
    <n v="25000"/>
    <n v="2000"/>
    <n v="23000"/>
    <n v="17000"/>
    <n v="17000"/>
    <n v="6000"/>
    <n v="0.2608695652173913"/>
    <x v="0"/>
    <x v="2"/>
    <s v="Not Returned"/>
    <x v="0"/>
  </r>
  <r>
    <s v="ORD007"/>
    <x v="6"/>
    <s v="C007"/>
    <x v="6"/>
    <x v="2"/>
    <x v="0"/>
    <x v="6"/>
    <n v="5"/>
    <n v="800"/>
    <n v="0"/>
    <s v="UPI"/>
    <x v="0"/>
    <n v="2"/>
    <n v="4000"/>
    <n v="0"/>
    <n v="4000"/>
    <n v="450"/>
    <n v="2250"/>
    <n v="1750"/>
    <n v="0.4375"/>
    <x v="0"/>
    <x v="0"/>
    <s v="Not Returned"/>
    <x v="0"/>
  </r>
  <r>
    <s v="ORD008"/>
    <x v="7"/>
    <s v="C008"/>
    <x v="7"/>
    <x v="3"/>
    <x v="2"/>
    <x v="7"/>
    <n v="10"/>
    <n v="450"/>
    <n v="0.05"/>
    <s v="Cash"/>
    <x v="0"/>
    <n v="4"/>
    <n v="4500"/>
    <n v="225"/>
    <n v="4275"/>
    <n v="250"/>
    <n v="2500"/>
    <n v="1775"/>
    <n v="0.41520467836257308"/>
    <x v="0"/>
    <x v="1"/>
    <s v="Not Returned"/>
    <x v="0"/>
  </r>
  <r>
    <s v="ORD009"/>
    <x v="8"/>
    <s v="C009"/>
    <x v="8"/>
    <x v="0"/>
    <x v="0"/>
    <x v="0"/>
    <n v="1"/>
    <n v="55000"/>
    <n v="0.1"/>
    <s v="Card"/>
    <x v="0"/>
    <n v="7"/>
    <n v="55000"/>
    <n v="5500"/>
    <n v="49500"/>
    <n v="40000"/>
    <n v="40000"/>
    <n v="9500"/>
    <n v="0.19191919191919191"/>
    <x v="0"/>
    <x v="2"/>
    <s v="Not Returned"/>
    <x v="0"/>
  </r>
  <r>
    <s v="ORD010"/>
    <x v="9"/>
    <s v="C010"/>
    <x v="9"/>
    <x v="1"/>
    <x v="1"/>
    <x v="1"/>
    <n v="2"/>
    <n v="8500"/>
    <n v="0.05"/>
    <s v="UPI"/>
    <x v="0"/>
    <n v="5"/>
    <n v="17000"/>
    <n v="850"/>
    <n v="16150"/>
    <n v="5500"/>
    <n v="11000"/>
    <n v="5150"/>
    <n v="0.31888544891640869"/>
    <x v="0"/>
    <x v="1"/>
    <s v="Not Returned"/>
    <x v="0"/>
  </r>
  <r>
    <s v="ORD011"/>
    <x v="10"/>
    <s v="C001"/>
    <x v="0"/>
    <x v="0"/>
    <x v="0"/>
    <x v="2"/>
    <n v="3"/>
    <n v="12000"/>
    <n v="0.05"/>
    <s v="UPI"/>
    <x v="0"/>
    <n v="3"/>
    <n v="36000"/>
    <n v="1800"/>
    <n v="34200"/>
    <n v="8000"/>
    <n v="24000"/>
    <n v="10200"/>
    <n v="0.2982456140350877"/>
    <x v="1"/>
    <x v="0"/>
    <s v="Not Returned"/>
    <x v="0"/>
  </r>
  <r>
    <s v="ORD012"/>
    <x v="11"/>
    <s v="C002"/>
    <x v="1"/>
    <x v="1"/>
    <x v="2"/>
    <x v="3"/>
    <n v="30"/>
    <n v="250"/>
    <n v="0.1"/>
    <s v="Card"/>
    <x v="0"/>
    <n v="4"/>
    <n v="7500"/>
    <n v="750"/>
    <n v="6750"/>
    <n v="120"/>
    <n v="3600"/>
    <n v="3150"/>
    <n v="0.46666666666666667"/>
    <x v="1"/>
    <x v="1"/>
    <s v="Not Returned"/>
    <x v="0"/>
  </r>
  <r>
    <s v="ORD013"/>
    <x v="12"/>
    <s v="C003"/>
    <x v="2"/>
    <x v="2"/>
    <x v="0"/>
    <x v="0"/>
    <n v="2"/>
    <n v="55000"/>
    <n v="0.05"/>
    <s v="UPI"/>
    <x v="0"/>
    <n v="3"/>
    <n v="110000"/>
    <n v="5500"/>
    <n v="104500"/>
    <n v="40000"/>
    <n v="80000"/>
    <n v="24500"/>
    <n v="0.23444976076555024"/>
    <x v="1"/>
    <x v="0"/>
    <s v="Not Returned"/>
    <x v="1"/>
  </r>
  <r>
    <s v="ORD014"/>
    <x v="13"/>
    <s v="C004"/>
    <x v="3"/>
    <x v="3"/>
    <x v="1"/>
    <x v="5"/>
    <n v="2"/>
    <n v="25000"/>
    <n v="0.1"/>
    <s v="Card"/>
    <x v="0"/>
    <n v="6"/>
    <n v="50000"/>
    <n v="5000"/>
    <n v="45000"/>
    <n v="17000"/>
    <n v="34000"/>
    <n v="11000"/>
    <n v="0.24444444444444444"/>
    <x v="1"/>
    <x v="2"/>
    <s v="Not Returned"/>
    <x v="1"/>
  </r>
  <r>
    <s v="ORD015"/>
    <x v="14"/>
    <s v="C005"/>
    <x v="4"/>
    <x v="0"/>
    <x v="0"/>
    <x v="4"/>
    <n v="6"/>
    <n v="1500"/>
    <n v="0.05"/>
    <s v="UPI"/>
    <x v="0"/>
    <n v="2"/>
    <n v="9000"/>
    <n v="450"/>
    <n v="8550"/>
    <n v="900"/>
    <n v="5400"/>
    <n v="3150"/>
    <n v="0.36842105263157893"/>
    <x v="1"/>
    <x v="0"/>
    <s v="Not Returned"/>
    <x v="1"/>
  </r>
  <r>
    <s v="ORD016"/>
    <x v="15"/>
    <s v="C006"/>
    <x v="5"/>
    <x v="1"/>
    <x v="2"/>
    <x v="7"/>
    <n v="25"/>
    <n v="450"/>
    <n v="0"/>
    <s v="Cash"/>
    <x v="0"/>
    <n v="4"/>
    <n v="11250"/>
    <n v="0"/>
    <n v="11250"/>
    <n v="250"/>
    <n v="6250"/>
    <n v="5000"/>
    <n v="0.44444444444444442"/>
    <x v="1"/>
    <x v="1"/>
    <s v="Not Returned"/>
    <x v="1"/>
  </r>
  <r>
    <s v="ORD017"/>
    <x v="16"/>
    <s v="C007"/>
    <x v="6"/>
    <x v="2"/>
    <x v="0"/>
    <x v="2"/>
    <n v="4"/>
    <n v="12000"/>
    <n v="0.08"/>
    <s v="Card"/>
    <x v="0"/>
    <n v="3"/>
    <n v="48000"/>
    <n v="3840"/>
    <n v="44160"/>
    <n v="8000"/>
    <n v="32000"/>
    <n v="12160"/>
    <n v="0.27536231884057971"/>
    <x v="1"/>
    <x v="0"/>
    <s v="Not Returned"/>
    <x v="1"/>
  </r>
  <r>
    <s v="ORD018"/>
    <x v="17"/>
    <s v="C008"/>
    <x v="7"/>
    <x v="3"/>
    <x v="1"/>
    <x v="1"/>
    <n v="2"/>
    <n v="8500"/>
    <n v="0.05"/>
    <s v="UPI"/>
    <x v="0"/>
    <n v="5"/>
    <n v="17000"/>
    <n v="850"/>
    <n v="16150"/>
    <n v="5500"/>
    <n v="11000"/>
    <n v="5150"/>
    <n v="0.31888544891640869"/>
    <x v="1"/>
    <x v="1"/>
    <s v="Not Returned"/>
    <x v="1"/>
  </r>
  <r>
    <s v="ORD019"/>
    <x v="18"/>
    <s v="C009"/>
    <x v="8"/>
    <x v="0"/>
    <x v="0"/>
    <x v="0"/>
    <n v="1"/>
    <n v="55000"/>
    <n v="0.05"/>
    <s v="UPI"/>
    <x v="0"/>
    <n v="4"/>
    <n v="55000"/>
    <n v="2750"/>
    <n v="52250"/>
    <n v="40000"/>
    <n v="40000"/>
    <n v="12250"/>
    <n v="0.23444976076555024"/>
    <x v="1"/>
    <x v="1"/>
    <s v="Not Returned"/>
    <x v="1"/>
  </r>
  <r>
    <s v="ORD020"/>
    <x v="19"/>
    <s v="C010"/>
    <x v="9"/>
    <x v="1"/>
    <x v="2"/>
    <x v="3"/>
    <n v="40"/>
    <n v="250"/>
    <n v="0.1"/>
    <s v="Card"/>
    <x v="0"/>
    <n v="5"/>
    <n v="10000"/>
    <n v="1000"/>
    <n v="9000"/>
    <n v="120"/>
    <n v="4800"/>
    <n v="4200"/>
    <n v="0.46666666666666667"/>
    <x v="1"/>
    <x v="1"/>
    <s v="Not Returned"/>
    <x v="1"/>
  </r>
  <r>
    <s v="ORD021"/>
    <x v="20"/>
    <s v="C011"/>
    <x v="10"/>
    <x v="2"/>
    <x v="0"/>
    <x v="6"/>
    <n v="8"/>
    <n v="800"/>
    <n v="0"/>
    <s v="UPI"/>
    <x v="0"/>
    <n v="2"/>
    <n v="6400"/>
    <n v="0"/>
    <n v="6400"/>
    <n v="450"/>
    <n v="3600"/>
    <n v="2800"/>
    <n v="0.4375"/>
    <x v="0"/>
    <x v="0"/>
    <s v="Not Returned"/>
    <x v="1"/>
  </r>
  <r>
    <s v="ORD022"/>
    <x v="21"/>
    <s v="C012"/>
    <x v="11"/>
    <x v="3"/>
    <x v="1"/>
    <x v="5"/>
    <n v="1"/>
    <n v="25000"/>
    <n v="0.05"/>
    <s v="Card"/>
    <x v="0"/>
    <n v="7"/>
    <n v="25000"/>
    <n v="1250"/>
    <n v="23750"/>
    <n v="17000"/>
    <n v="17000"/>
    <n v="6750"/>
    <n v="0.28421052631578947"/>
    <x v="0"/>
    <x v="2"/>
    <s v="Not Returned"/>
    <x v="1"/>
  </r>
  <r>
    <s v="ORD023"/>
    <x v="22"/>
    <s v="C013"/>
    <x v="12"/>
    <x v="0"/>
    <x v="0"/>
    <x v="2"/>
    <n v="2"/>
    <n v="12000"/>
    <n v="0.1"/>
    <s v="UPI"/>
    <x v="0"/>
    <n v="3"/>
    <n v="24000"/>
    <n v="2400"/>
    <n v="21600"/>
    <n v="8000"/>
    <n v="16000"/>
    <n v="5600"/>
    <n v="0.25925925925925924"/>
    <x v="0"/>
    <x v="0"/>
    <s v="Not Returned"/>
    <x v="1"/>
  </r>
  <r>
    <s v="ORD024"/>
    <x v="23"/>
    <s v="C014"/>
    <x v="13"/>
    <x v="1"/>
    <x v="2"/>
    <x v="7"/>
    <n v="30"/>
    <n v="450"/>
    <n v="0.05"/>
    <s v="Cash"/>
    <x v="0"/>
    <n v="4"/>
    <n v="13500"/>
    <n v="675"/>
    <n v="12825"/>
    <n v="250"/>
    <n v="7500"/>
    <n v="5325"/>
    <n v="0.41520467836257308"/>
    <x v="0"/>
    <x v="1"/>
    <s v="Not Returned"/>
    <x v="1"/>
  </r>
  <r>
    <s v="ORD025"/>
    <x v="24"/>
    <s v="C015"/>
    <x v="14"/>
    <x v="2"/>
    <x v="0"/>
    <x v="0"/>
    <n v="1"/>
    <n v="55000"/>
    <n v="0.08"/>
    <s v="Card"/>
    <x v="0"/>
    <n v="6"/>
    <n v="55000"/>
    <n v="4400"/>
    <n v="50600"/>
    <n v="40000"/>
    <n v="40000"/>
    <n v="10600"/>
    <n v="0.20948616600790515"/>
    <x v="0"/>
    <x v="2"/>
    <s v="Not Returned"/>
    <x v="1"/>
  </r>
  <r>
    <s v="ORD026"/>
    <x v="25"/>
    <s v="C001"/>
    <x v="0"/>
    <x v="0"/>
    <x v="0"/>
    <x v="4"/>
    <n v="5"/>
    <n v="1500"/>
    <n v="0.05"/>
    <s v="UPI"/>
    <x v="0"/>
    <n v="2"/>
    <n v="7500"/>
    <n v="375"/>
    <n v="7125"/>
    <n v="900"/>
    <n v="4500"/>
    <n v="2625"/>
    <n v="0.36842105263157893"/>
    <x v="1"/>
    <x v="0"/>
    <s v="Not Returned"/>
    <x v="2"/>
  </r>
  <r>
    <s v="ORD027"/>
    <x v="26"/>
    <s v="C002"/>
    <x v="1"/>
    <x v="1"/>
    <x v="1"/>
    <x v="1"/>
    <n v="4"/>
    <n v="8500"/>
    <n v="0.1"/>
    <s v="Card"/>
    <x v="0"/>
    <n v="5"/>
    <n v="34000"/>
    <n v="3400"/>
    <n v="30600"/>
    <n v="5500"/>
    <n v="22000"/>
    <n v="8600"/>
    <n v="0.28104575163398693"/>
    <x v="1"/>
    <x v="1"/>
    <s v="Not Returned"/>
    <x v="2"/>
  </r>
  <r>
    <s v="ORD028"/>
    <x v="27"/>
    <s v="C003"/>
    <x v="2"/>
    <x v="2"/>
    <x v="0"/>
    <x v="2"/>
    <n v="3"/>
    <n v="12000"/>
    <n v="0.05"/>
    <s v="UPI"/>
    <x v="0"/>
    <n v="3"/>
    <n v="36000"/>
    <n v="1800"/>
    <n v="34200"/>
    <n v="8000"/>
    <n v="24000"/>
    <n v="10200"/>
    <n v="0.2982456140350877"/>
    <x v="1"/>
    <x v="0"/>
    <s v="Not Returned"/>
    <x v="2"/>
  </r>
  <r>
    <s v="ORD029"/>
    <x v="28"/>
    <s v="C004"/>
    <x v="3"/>
    <x v="3"/>
    <x v="2"/>
    <x v="3"/>
    <n v="50"/>
    <n v="250"/>
    <n v="0"/>
    <s v="Cash"/>
    <x v="0"/>
    <n v="4"/>
    <n v="12500"/>
    <n v="0"/>
    <n v="12500"/>
    <n v="120"/>
    <n v="6000"/>
    <n v="6500"/>
    <n v="0.52"/>
    <x v="1"/>
    <x v="1"/>
    <s v="Not Returned"/>
    <x v="2"/>
  </r>
  <r>
    <s v="ORD030"/>
    <x v="29"/>
    <s v="C005"/>
    <x v="4"/>
    <x v="0"/>
    <x v="0"/>
    <x v="0"/>
    <n v="2"/>
    <n v="55000"/>
    <n v="0.1"/>
    <s v="Card"/>
    <x v="0"/>
    <n v="8"/>
    <n v="110000"/>
    <n v="11000"/>
    <n v="99000"/>
    <n v="40000"/>
    <n v="80000"/>
    <n v="19000"/>
    <n v="0.19191919191919191"/>
    <x v="1"/>
    <x v="2"/>
    <s v="Not Returned"/>
    <x v="2"/>
  </r>
  <r>
    <s v="ORD031"/>
    <x v="30"/>
    <s v="C006"/>
    <x v="5"/>
    <x v="1"/>
    <x v="1"/>
    <x v="5"/>
    <n v="1"/>
    <n v="25000"/>
    <n v="0.05"/>
    <s v="UPI"/>
    <x v="0"/>
    <n v="6"/>
    <n v="25000"/>
    <n v="1250"/>
    <n v="23750"/>
    <n v="17000"/>
    <n v="17000"/>
    <n v="6750"/>
    <n v="0.28421052631578947"/>
    <x v="1"/>
    <x v="2"/>
    <s v="Not Returned"/>
    <x v="2"/>
  </r>
  <r>
    <s v="ORD032"/>
    <x v="31"/>
    <s v="C007"/>
    <x v="6"/>
    <x v="2"/>
    <x v="0"/>
    <x v="6"/>
    <n v="10"/>
    <n v="800"/>
    <n v="0.05"/>
    <s v="UPI"/>
    <x v="0"/>
    <n v="2"/>
    <n v="8000"/>
    <n v="400"/>
    <n v="7600"/>
    <n v="450"/>
    <n v="4500"/>
    <n v="3100"/>
    <n v="0.40789473684210525"/>
    <x v="1"/>
    <x v="0"/>
    <s v="Not Returned"/>
    <x v="2"/>
  </r>
  <r>
    <s v="ORD033"/>
    <x v="32"/>
    <s v="C008"/>
    <x v="7"/>
    <x v="3"/>
    <x v="2"/>
    <x v="7"/>
    <n v="40"/>
    <n v="450"/>
    <n v="0.1"/>
    <s v="Card"/>
    <x v="0"/>
    <n v="5"/>
    <n v="18000"/>
    <n v="1800"/>
    <n v="16200"/>
    <n v="250"/>
    <n v="10000"/>
    <n v="6200"/>
    <n v="0.38271604938271603"/>
    <x v="1"/>
    <x v="1"/>
    <s v="Not Returned"/>
    <x v="2"/>
  </r>
  <r>
    <s v="ORD034"/>
    <x v="33"/>
    <s v="C009"/>
    <x v="8"/>
    <x v="0"/>
    <x v="0"/>
    <x v="2"/>
    <n v="3"/>
    <n v="12000"/>
    <n v="0.05"/>
    <s v="UPI"/>
    <x v="0"/>
    <n v="3"/>
    <n v="36000"/>
    <n v="1800"/>
    <n v="34200"/>
    <n v="8000"/>
    <n v="24000"/>
    <n v="10200"/>
    <n v="0.2982456140350877"/>
    <x v="1"/>
    <x v="0"/>
    <s v="Not Returned"/>
    <x v="2"/>
  </r>
  <r>
    <s v="ORD035"/>
    <x v="34"/>
    <s v="C010"/>
    <x v="9"/>
    <x v="1"/>
    <x v="1"/>
    <x v="1"/>
    <n v="3"/>
    <n v="8500"/>
    <n v="0.08"/>
    <s v="Card"/>
    <x v="0"/>
    <n v="6"/>
    <n v="25500"/>
    <n v="2040"/>
    <n v="23460"/>
    <n v="5500"/>
    <n v="16500"/>
    <n v="6960"/>
    <n v="0.29667519181585678"/>
    <x v="1"/>
    <x v="2"/>
    <s v="Not Returned"/>
    <x v="2"/>
  </r>
  <r>
    <s v="ORD036"/>
    <x v="35"/>
    <s v="C011"/>
    <x v="10"/>
    <x v="2"/>
    <x v="0"/>
    <x v="0"/>
    <n v="1"/>
    <n v="55000"/>
    <n v="0.05"/>
    <s v="UPI"/>
    <x v="0"/>
    <n v="4"/>
    <n v="55000"/>
    <n v="2750"/>
    <n v="52250"/>
    <n v="40000"/>
    <n v="40000"/>
    <n v="12250"/>
    <n v="0.23444976076555024"/>
    <x v="1"/>
    <x v="1"/>
    <s v="Not Returned"/>
    <x v="2"/>
  </r>
  <r>
    <s v="ORD037"/>
    <x v="36"/>
    <s v="C012"/>
    <x v="11"/>
    <x v="3"/>
    <x v="2"/>
    <x v="3"/>
    <n v="60"/>
    <n v="250"/>
    <n v="0.05"/>
    <s v="Cash"/>
    <x v="0"/>
    <n v="4"/>
    <n v="15000"/>
    <n v="750"/>
    <n v="14250"/>
    <n v="120"/>
    <n v="7200"/>
    <n v="7050"/>
    <n v="0.49473684210526314"/>
    <x v="1"/>
    <x v="1"/>
    <s v="Not Returned"/>
    <x v="2"/>
  </r>
  <r>
    <s v="ORD038"/>
    <x v="37"/>
    <s v="C013"/>
    <x v="12"/>
    <x v="0"/>
    <x v="0"/>
    <x v="4"/>
    <n v="8"/>
    <n v="1500"/>
    <n v="0"/>
    <s v="UPI"/>
    <x v="0"/>
    <n v="2"/>
    <n v="12000"/>
    <n v="0"/>
    <n v="12000"/>
    <n v="900"/>
    <n v="7200"/>
    <n v="4800"/>
    <n v="0.4"/>
    <x v="1"/>
    <x v="0"/>
    <s v="Not Returned"/>
    <x v="2"/>
  </r>
  <r>
    <s v="ORD039"/>
    <x v="38"/>
    <s v="C014"/>
    <x v="13"/>
    <x v="1"/>
    <x v="1"/>
    <x v="5"/>
    <n v="2"/>
    <n v="25000"/>
    <n v="0.1"/>
    <s v="Card"/>
    <x v="0"/>
    <n v="7"/>
    <n v="50000"/>
    <n v="5000"/>
    <n v="45000"/>
    <n v="17000"/>
    <n v="34000"/>
    <n v="11000"/>
    <n v="0.24444444444444444"/>
    <x v="1"/>
    <x v="2"/>
    <s v="Not Returned"/>
    <x v="2"/>
  </r>
  <r>
    <s v="ORD040"/>
    <x v="39"/>
    <s v="C015"/>
    <x v="14"/>
    <x v="2"/>
    <x v="0"/>
    <x v="2"/>
    <n v="5"/>
    <n v="12000"/>
    <n v="0.08"/>
    <s v="UPI"/>
    <x v="0"/>
    <n v="3"/>
    <n v="60000"/>
    <n v="4800"/>
    <n v="55200"/>
    <n v="8000"/>
    <n v="40000"/>
    <n v="15200"/>
    <n v="0.27536231884057971"/>
    <x v="1"/>
    <x v="0"/>
    <s v="Not Returned"/>
    <x v="2"/>
  </r>
  <r>
    <s v="ORD041"/>
    <x v="40"/>
    <s v="C016"/>
    <x v="15"/>
    <x v="0"/>
    <x v="0"/>
    <x v="0"/>
    <n v="1"/>
    <n v="55000"/>
    <n v="0.05"/>
    <s v="Card"/>
    <x v="0"/>
    <n v="5"/>
    <n v="55000"/>
    <n v="2750"/>
    <n v="52250"/>
    <n v="40000"/>
    <n v="40000"/>
    <n v="12250"/>
    <n v="0.23444976076555024"/>
    <x v="0"/>
    <x v="1"/>
    <s v="Not Returned"/>
    <x v="3"/>
  </r>
  <r>
    <s v="ORD042"/>
    <x v="41"/>
    <s v="C017"/>
    <x v="16"/>
    <x v="1"/>
    <x v="2"/>
    <x v="7"/>
    <n v="50"/>
    <n v="450"/>
    <n v="0.05"/>
    <s v="Cash"/>
    <x v="0"/>
    <n v="4"/>
    <n v="22500"/>
    <n v="1125"/>
    <n v="21375"/>
    <n v="250"/>
    <n v="12500"/>
    <n v="8875"/>
    <n v="0.41520467836257308"/>
    <x v="0"/>
    <x v="1"/>
    <s v="Not Returned"/>
    <x v="3"/>
  </r>
  <r>
    <s v="ORD043"/>
    <x v="42"/>
    <s v="C018"/>
    <x v="17"/>
    <x v="3"/>
    <x v="1"/>
    <x v="1"/>
    <n v="3"/>
    <n v="8500"/>
    <n v="0.1"/>
    <s v="UPI"/>
    <x v="0"/>
    <n v="6"/>
    <n v="25500"/>
    <n v="2550"/>
    <n v="22950"/>
    <n v="5500"/>
    <n v="16500"/>
    <n v="6450"/>
    <n v="0.28104575163398693"/>
    <x v="0"/>
    <x v="2"/>
    <s v="Not Returned"/>
    <x v="3"/>
  </r>
  <r>
    <s v="ORD044"/>
    <x v="43"/>
    <s v="C019"/>
    <x v="18"/>
    <x v="2"/>
    <x v="0"/>
    <x v="6"/>
    <n v="12"/>
    <n v="800"/>
    <n v="0"/>
    <s v="Card"/>
    <x v="0"/>
    <n v="2"/>
    <n v="9600"/>
    <n v="0"/>
    <n v="9600"/>
    <n v="450"/>
    <n v="5400"/>
    <n v="4200"/>
    <n v="0.4375"/>
    <x v="0"/>
    <x v="0"/>
    <s v="Not Returned"/>
    <x v="3"/>
  </r>
  <r>
    <s v="ORD045"/>
    <x v="44"/>
    <s v="C020"/>
    <x v="19"/>
    <x v="0"/>
    <x v="0"/>
    <x v="2"/>
    <n v="2"/>
    <n v="12000"/>
    <n v="0.05"/>
    <s v="UPI"/>
    <x v="0"/>
    <n v="3"/>
    <n v="24000"/>
    <n v="1200"/>
    <n v="22800"/>
    <n v="8000"/>
    <n v="16000"/>
    <n v="6800"/>
    <n v="0.2982456140350877"/>
    <x v="0"/>
    <x v="0"/>
    <s v="Not Returned"/>
    <x v="3"/>
  </r>
  <r>
    <s v="ORD046"/>
    <x v="45"/>
    <s v="C016"/>
    <x v="15"/>
    <x v="0"/>
    <x v="0"/>
    <x v="4"/>
    <n v="10"/>
    <n v="1500"/>
    <n v="0.05"/>
    <s v="UPI"/>
    <x v="1"/>
    <n v="3"/>
    <n v="15000"/>
    <n v="750"/>
    <n v="14250"/>
    <n v="900"/>
    <n v="9000"/>
    <n v="5250"/>
    <n v="0.36842105263157893"/>
    <x v="1"/>
    <x v="0"/>
    <s v="Returned"/>
    <x v="3"/>
  </r>
  <r>
    <s v="ORD047"/>
    <x v="46"/>
    <s v="C017"/>
    <x v="16"/>
    <x v="1"/>
    <x v="2"/>
    <x v="3"/>
    <n v="25"/>
    <n v="250"/>
    <n v="0"/>
    <s v="Cash"/>
    <x v="0"/>
    <n v="5"/>
    <n v="6250"/>
    <n v="0"/>
    <n v="6250"/>
    <n v="120"/>
    <n v="3000"/>
    <n v="3250"/>
    <n v="0.52"/>
    <x v="1"/>
    <x v="1"/>
    <s v="Not Returned"/>
    <x v="3"/>
  </r>
  <r>
    <s v="ORD048"/>
    <x v="47"/>
    <s v="C018"/>
    <x v="17"/>
    <x v="3"/>
    <x v="1"/>
    <x v="5"/>
    <n v="1"/>
    <n v="25000"/>
    <n v="0.05"/>
    <s v="Card"/>
    <x v="2"/>
    <n v="0"/>
    <n v="25000"/>
    <n v="1250"/>
    <n v="23750"/>
    <n v="17000"/>
    <n v="17000"/>
    <n v="6750"/>
    <n v="0.28421052631578947"/>
    <x v="1"/>
    <x v="0"/>
    <s v="Not Returned"/>
    <x v="3"/>
  </r>
  <r>
    <s v="ORD049"/>
    <x v="48"/>
    <s v="C019"/>
    <x v="18"/>
    <x v="2"/>
    <x v="0"/>
    <x v="0"/>
    <n v="2"/>
    <n v="55000"/>
    <n v="0.1"/>
    <s v="UPI"/>
    <x v="0"/>
    <n v="7"/>
    <n v="110000"/>
    <n v="11000"/>
    <n v="99000"/>
    <n v="40000"/>
    <n v="80000"/>
    <n v="19000"/>
    <n v="0.19191919191919191"/>
    <x v="1"/>
    <x v="2"/>
    <s v="Not Returned"/>
    <x v="3"/>
  </r>
  <r>
    <s v="ORD050"/>
    <x v="49"/>
    <s v="C020"/>
    <x v="19"/>
    <x v="0"/>
    <x v="2"/>
    <x v="7"/>
    <n v="35"/>
    <n v="450"/>
    <n v="0.05"/>
    <s v="Cash"/>
    <x v="0"/>
    <n v="4"/>
    <n v="15750"/>
    <n v="787.5"/>
    <n v="14962.5"/>
    <n v="250"/>
    <n v="8750"/>
    <n v="6212.5"/>
    <n v="0.41520467836257308"/>
    <x v="1"/>
    <x v="1"/>
    <s v="Not Returned"/>
    <x v="3"/>
  </r>
  <r>
    <s v="ORD051"/>
    <x v="50"/>
    <s v="C001"/>
    <x v="0"/>
    <x v="0"/>
    <x v="0"/>
    <x v="2"/>
    <n v="2"/>
    <n v="12000"/>
    <n v="0.05"/>
    <s v="UPI"/>
    <x v="0"/>
    <n v="3"/>
    <n v="24000"/>
    <n v="1200"/>
    <n v="22800"/>
    <n v="8000"/>
    <n v="16000"/>
    <n v="6800"/>
    <n v="0.2982456140350877"/>
    <x v="1"/>
    <x v="0"/>
    <s v="Not Returned"/>
    <x v="3"/>
  </r>
  <r>
    <s v="ORD052"/>
    <x v="51"/>
    <s v="C006"/>
    <x v="5"/>
    <x v="1"/>
    <x v="1"/>
    <x v="1"/>
    <n v="2"/>
    <n v="8500"/>
    <n v="0.08"/>
    <s v="Card"/>
    <x v="1"/>
    <n v="6"/>
    <n v="17000"/>
    <n v="1360"/>
    <n v="15640"/>
    <n v="5500"/>
    <n v="11000"/>
    <n v="4640"/>
    <n v="0.29667519181585678"/>
    <x v="1"/>
    <x v="2"/>
    <s v="Returned"/>
    <x v="3"/>
  </r>
  <r>
    <s v="ORD053"/>
    <x v="52"/>
    <s v="C011"/>
    <x v="10"/>
    <x v="2"/>
    <x v="0"/>
    <x v="0"/>
    <n v="1"/>
    <n v="55000"/>
    <n v="0.05"/>
    <s v="UPI"/>
    <x v="0"/>
    <n v="4"/>
    <n v="55000"/>
    <n v="2750"/>
    <n v="52250"/>
    <n v="40000"/>
    <n v="40000"/>
    <n v="12250"/>
    <n v="0.23444976076555024"/>
    <x v="1"/>
    <x v="1"/>
    <s v="Not Returned"/>
    <x v="3"/>
  </r>
  <r>
    <s v="ORD054"/>
    <x v="53"/>
    <s v="C012"/>
    <x v="11"/>
    <x v="3"/>
    <x v="2"/>
    <x v="3"/>
    <n v="45"/>
    <n v="250"/>
    <n v="0.1"/>
    <s v="Cash"/>
    <x v="0"/>
    <n v="5"/>
    <n v="11250"/>
    <n v="1125"/>
    <n v="10125"/>
    <n v="120"/>
    <n v="5400"/>
    <n v="4725"/>
    <n v="0.46666666666666667"/>
    <x v="1"/>
    <x v="1"/>
    <s v="Not Returned"/>
    <x v="3"/>
  </r>
  <r>
    <s v="ORD055"/>
    <x v="54"/>
    <s v="C013"/>
    <x v="12"/>
    <x v="0"/>
    <x v="0"/>
    <x v="4"/>
    <n v="6"/>
    <n v="1500"/>
    <n v="0.05"/>
    <s v="UPI"/>
    <x v="0"/>
    <n v="2"/>
    <n v="9000"/>
    <n v="450"/>
    <n v="8550"/>
    <n v="900"/>
    <n v="5400"/>
    <n v="3150"/>
    <n v="0.36842105263157893"/>
    <x v="1"/>
    <x v="0"/>
    <s v="Not Returned"/>
    <x v="3"/>
  </r>
  <r>
    <s v="ORD056"/>
    <x v="55"/>
    <s v="C014"/>
    <x v="13"/>
    <x v="1"/>
    <x v="1"/>
    <x v="5"/>
    <n v="2"/>
    <n v="25000"/>
    <n v="0.05"/>
    <s v="Card"/>
    <x v="0"/>
    <n v="6"/>
    <n v="50000"/>
    <n v="2500"/>
    <n v="47500"/>
    <n v="17000"/>
    <n v="34000"/>
    <n v="13500"/>
    <n v="0.28421052631578947"/>
    <x v="1"/>
    <x v="2"/>
    <s v="Not Returned"/>
    <x v="4"/>
  </r>
  <r>
    <s v="ORD057"/>
    <x v="56"/>
    <s v="C015"/>
    <x v="14"/>
    <x v="2"/>
    <x v="0"/>
    <x v="2"/>
    <n v="3"/>
    <n v="12000"/>
    <n v="0.08"/>
    <s v="UPI"/>
    <x v="0"/>
    <n v="3"/>
    <n v="36000"/>
    <n v="2880"/>
    <n v="33120"/>
    <n v="8000"/>
    <n v="24000"/>
    <n v="9120"/>
    <n v="0.27536231884057971"/>
    <x v="1"/>
    <x v="0"/>
    <s v="Not Returned"/>
    <x v="4"/>
  </r>
  <r>
    <s v="ORD058"/>
    <x v="57"/>
    <s v="C016"/>
    <x v="15"/>
    <x v="0"/>
    <x v="0"/>
    <x v="6"/>
    <n v="15"/>
    <n v="800"/>
    <n v="0"/>
    <s v="UPI"/>
    <x v="0"/>
    <n v="2"/>
    <n v="12000"/>
    <n v="0"/>
    <n v="12000"/>
    <n v="450"/>
    <n v="6750"/>
    <n v="5250"/>
    <n v="0.4375"/>
    <x v="1"/>
    <x v="0"/>
    <s v="Not Returned"/>
    <x v="4"/>
  </r>
  <r>
    <s v="ORD059"/>
    <x v="58"/>
    <s v="C017"/>
    <x v="16"/>
    <x v="1"/>
    <x v="2"/>
    <x v="7"/>
    <n v="60"/>
    <n v="450"/>
    <n v="0.05"/>
    <s v="Cash"/>
    <x v="0"/>
    <n v="4"/>
    <n v="27000"/>
    <n v="1350"/>
    <n v="25650"/>
    <n v="250"/>
    <n v="15000"/>
    <n v="10650"/>
    <n v="0.41520467836257308"/>
    <x v="1"/>
    <x v="1"/>
    <s v="Not Returned"/>
    <x v="4"/>
  </r>
  <r>
    <s v="ORD060"/>
    <x v="59"/>
    <s v="C018"/>
    <x v="17"/>
    <x v="3"/>
    <x v="1"/>
    <x v="1"/>
    <n v="4"/>
    <n v="8500"/>
    <n v="0.1"/>
    <s v="Card"/>
    <x v="0"/>
    <n v="7"/>
    <n v="34000"/>
    <n v="3400"/>
    <n v="30600"/>
    <n v="5500"/>
    <n v="22000"/>
    <n v="8600"/>
    <n v="0.28104575163398693"/>
    <x v="1"/>
    <x v="2"/>
    <s v="Not Returned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orderstatu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:L7" firstHeaderRow="1" firstDataRow="1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netsalesbyregion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1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Sales" fld="15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rofitbyregion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8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rofitmarginbycategory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0:F34" firstHeaderRow="0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 numFmtId="164"/>
    <dataField name="Sum of Net_Sales" fld="15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netsalesbycustomer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9:I30" firstHeaderRow="1" firstDataRow="1" firstDataCol="1"/>
  <pivotFields count="24">
    <pivotField compact="0" outline="0" showAll="0"/>
    <pivotField compact="0" numFmtId="15" outline="0" showAll="0"/>
    <pivotField compact="0" outline="0" showAll="0"/>
    <pivotField axis="axisRow" compact="0" outline="0" showAll="0">
      <items count="21">
        <item x="13"/>
        <item x="5"/>
        <item x="7"/>
        <item x="18"/>
        <item x="14"/>
        <item x="6"/>
        <item x="17"/>
        <item x="8"/>
        <item x="10"/>
        <item x="12"/>
        <item x="3"/>
        <item x="2"/>
        <item x="9"/>
        <item x="4"/>
        <item x="0"/>
        <item x="15"/>
        <item x="1"/>
        <item x="16"/>
        <item x="19"/>
        <item x="11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Net_Sales" fld="15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averagedeliverydaysbyregion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17:L22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Days" fld="12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rofitbycustomer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3:I54" firstHeaderRow="1" firstDataRow="1" firstDataCol="1"/>
  <pivotFields count="24">
    <pivotField compact="0" outline="0" showAll="0"/>
    <pivotField compact="0" numFmtId="15" outline="0" showAll="0"/>
    <pivotField compact="0" outline="0" showAll="0"/>
    <pivotField axis="axisRow" compact="0" outline="0" showAll="0">
      <items count="21">
        <item x="13"/>
        <item x="5"/>
        <item x="7"/>
        <item x="18"/>
        <item x="14"/>
        <item x="6"/>
        <item x="17"/>
        <item x="8"/>
        <item x="10"/>
        <item x="12"/>
        <item x="3"/>
        <item x="2"/>
        <item x="9"/>
        <item x="4"/>
        <item x="0"/>
        <item x="15"/>
        <item x="1"/>
        <item x="16"/>
        <item x="19"/>
        <item x="11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Net_Sales" fld="15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newvsreturningcustomer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6" firstHeaderRow="1" firstDataRow="1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returnratebyproduc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25:O35" firstHeaderRow="1" firstDataRow="2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5"/>
        <item x="4"/>
        <item x="0"/>
        <item x="2"/>
        <item x="6"/>
        <item x="3"/>
        <item x="1"/>
        <item x="7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netsalesbycategory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4:B28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t_Sales" fld="15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deliverycategory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K10:L14" firstHeaderRow="1" firstDataRow="1" firstDataCol="1"/>
  <pivotFields count="24">
    <pivotField dataField="1"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netsalesbymonth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3:B49" firstHeaderRow="1" firstDataRow="1" firstDataCol="1"/>
  <pivotFields count="24">
    <pivotField compact="0" outline="0" showAll="0"/>
    <pivotField compact="0" numFmtId="15" outline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2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Sales" fld="15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rofitbyproduc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8:E27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5"/>
        <item x="4"/>
        <item x="0"/>
        <item x="2"/>
        <item x="6"/>
        <item x="3"/>
        <item x="1"/>
        <item x="7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18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profitbycategory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1:E15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netsalesbyproduc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1:B40" firstHeaderRow="1" firstDataRow="1" firstDataCol="1"/>
  <pivotFields count="24"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5"/>
        <item x="4"/>
        <item x="0"/>
        <item x="2"/>
        <item x="6"/>
        <item x="3"/>
        <item x="1"/>
        <item x="7"/>
        <item t="default"/>
      </items>
    </pivotField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Net_Sales" fld="15" baseField="0" baseItem="0" numFmtId="164"/>
  </dataFields>
  <chartFormats count="6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1E3F3EE6-68ED-428C-A234-CC84AAB7B352}" sourceName="Region">
  <data>
    <tabular pivotCacheId="1847370014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A009227F-0D98-4E82-A9A5-52A8194CF568}" sourceName="Category">
  <pivotTables>
    <pivotTable tabId="3" name="netsalesbycategory"/>
    <pivotTable tabId="3" name="profitbycategory"/>
  </pivotTables>
  <data>
    <tabular pivotCacheId="1847370014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20A187D8-AD63-4A35-A5FD-A0634E915B57}" sourceName="Region">
  <pivotTables>
    <pivotTable tabId="3" name="netsalesbyregion"/>
    <pivotTable tabId="3" name="profitbycategory"/>
    <pivotTable tabId="3" name="profitbyregion"/>
    <pivotTable tabId="3" name="profitbycustomer"/>
  </pivotTables>
  <data>
    <tabular pivotCacheId="1847370014">
      <items count="4">
        <i x="3" s="1"/>
        <i x="1" s="1"/>
        <i x="0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B6EDD545-D114-4F16-90E6-7C18138EBA5A}" sourceName="Product">
  <pivotTables>
    <pivotTable tabId="3" name="profitbyproduct"/>
    <pivotTable tabId="3" name="netsalesbyproduct"/>
  </pivotTables>
  <data>
    <tabular pivotCacheId="1847370014">
      <items count="8">
        <i x="5" s="1"/>
        <i x="4" s="1"/>
        <i x="0" s="1"/>
        <i x="2" s="1"/>
        <i x="6" s="1"/>
        <i x="3" s="1"/>
        <i x="1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981F060-82A7-4B83-8757-5CF98B0F921D}" cache="Slicer_Region" caption="Region" rowHeight="228600"/>
  <slicer name="Category" xr10:uid="{5341D4D6-0E65-4B8D-8971-C11273B1E2D2}" cache="Slicer_Category" caption="Category" rowHeight="228600"/>
  <slicer name="Region 1" xr10:uid="{56E42506-2BDA-4ED6-8C6A-2AE83EE8FB40}" cache="Slicer_Region1" caption="Region" rowHeight="228600"/>
  <slicer name="Product" xr10:uid="{9214CBC1-10F1-416E-8FE5-185A00505F70}" cache="Slicer_Product" caption="Product" rowHeight="228600"/>
</slicers>
</file>

<file path=xl/tables/table1.xml><?xml version="1.0" encoding="utf-8"?>
<table xmlns="http://schemas.openxmlformats.org/spreadsheetml/2006/main" id="1" name="Ecommerce_data" displayName="Ecommerce_data" ref="A1:X61" totalsRowShown="0" headerRowDxfId="27" dataDxfId="25" headerRowBorderDxfId="26" tableBorderDxfId="24">
  <autoFilter ref="A1:X61"/>
  <tableColumns count="24">
    <tableColumn id="1" name="Order_ID" dataDxfId="23"/>
    <tableColumn id="2" name="Order_Date" dataDxfId="22"/>
    <tableColumn id="3" name="Customer_ID" dataDxfId="21"/>
    <tableColumn id="4" name="Customer_Name" dataDxfId="20"/>
    <tableColumn id="5" name="Region" dataDxfId="19"/>
    <tableColumn id="6" name="Category" dataDxfId="18"/>
    <tableColumn id="7" name="Product" dataDxfId="17"/>
    <tableColumn id="8" name="Quantity" dataDxfId="16"/>
    <tableColumn id="9" name="Unit_Price" dataDxfId="15"/>
    <tableColumn id="10" name="Discount" dataDxfId="14"/>
    <tableColumn id="11" name="Payment_Method" dataDxfId="13"/>
    <tableColumn id="12" name="Order_Status" dataDxfId="12"/>
    <tableColumn id="13" name="Delivery_Days" dataDxfId="11"/>
    <tableColumn id="14" name="Revenue" dataDxfId="10">
      <calculatedColumnFormula>Ecommerce_data[[#This Row],[Quantity]]*Ecommerce_data[[#This Row],[Unit_Price]]</calculatedColumnFormula>
    </tableColumn>
    <tableColumn id="15" name="Discount_Amount" dataDxfId="9">
      <calculatedColumnFormula>Ecommerce_data[[#This Row],[Revenue]]*Ecommerce_data[[#This Row],[Discount]]</calculatedColumnFormula>
    </tableColumn>
    <tableColumn id="16" name="Net_Sales" dataDxfId="8">
      <calculatedColumnFormula>Ecommerce_data[[#This Row],[Revenue]]-Ecommerce_data[[#This Row],[Discount_Amount]]</calculatedColumnFormula>
    </tableColumn>
    <tableColumn id="17" name="Unit_Cost" dataDxfId="7">
      <calculatedColumnFormula>VLOOKUP(G2,Calculations!$A$2:$B$9,2,FALSE)</calculatedColumnFormula>
    </tableColumn>
    <tableColumn id="18" name="Total_Cost" dataDxfId="6">
      <calculatedColumnFormula>Ecommerce_data[[#This Row],[Quantity]]*Ecommerce_data[[#This Row],[Unit_Cost]]</calculatedColumnFormula>
    </tableColumn>
    <tableColumn id="19" name="Profit" dataDxfId="5">
      <calculatedColumnFormula>Ecommerce_data[[#This Row],[Net_Sales]]-Ecommerce_data[[#This Row],[Total_Cost]]</calculatedColumnFormula>
    </tableColumn>
    <tableColumn id="20" name="Profit_Margin" dataDxfId="4">
      <calculatedColumnFormula>Ecommerce_data[[#This Row],[Profit]]/Ecommerce_data[[#This Row],[Net_Sales]]</calculatedColumnFormula>
    </tableColumn>
    <tableColumn id="21" name="Customer_Type" dataDxfId="3">
      <calculatedColumnFormula>IF(COUNTIF($C$2:C2,C2)=1,"New Customer","Returning Customer")</calculatedColumnFormula>
    </tableColumn>
    <tableColumn id="22" name="Delivery_Category" dataDxfId="2">
      <calculatedColumnFormula>IF(M2&lt;=3,"Fast",IF(M2&lt;=5,"Normal","Delayed"))</calculatedColumnFormula>
    </tableColumn>
    <tableColumn id="23" name="Return_Flag" dataDxfId="1">
      <calculatedColumnFormula>IF(L2="Returned","Returned",IF(L2="Delivered","Not Returned","Not Returned"))</calculatedColumnFormula>
    </tableColumn>
    <tableColumn id="24" name="Order_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microsoft.com/office/2007/relationships/slicer" Target="../slicers/slicer1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1"/>
  <sheetViews>
    <sheetView workbookViewId="0">
      <selection activeCell="A2" sqref="A2:X61"/>
    </sheetView>
  </sheetViews>
  <sheetFormatPr defaultRowHeight="14.25"/>
  <cols>
    <col min="1" max="1" width="12.625" customWidth="1"/>
    <col min="2" max="2" width="13.875" bestFit="1" customWidth="1"/>
    <col min="3" max="3" width="15" bestFit="1" customWidth="1"/>
    <col min="4" max="4" width="18.625" bestFit="1" customWidth="1"/>
    <col min="5" max="5" width="11.875" customWidth="1"/>
    <col min="6" max="6" width="13" customWidth="1"/>
    <col min="7" max="7" width="13.25" customWidth="1"/>
    <col min="8" max="8" width="11.25" bestFit="1" customWidth="1"/>
    <col min="9" max="9" width="12.75" bestFit="1" customWidth="1"/>
    <col min="10" max="10" width="11.25" bestFit="1" customWidth="1"/>
    <col min="11" max="11" width="19.875" bestFit="1" customWidth="1"/>
    <col min="12" max="12" width="15.25" bestFit="1" customWidth="1"/>
    <col min="13" max="13" width="13.875" customWidth="1"/>
    <col min="14" max="14" width="11.75" customWidth="1"/>
    <col min="15" max="15" width="15.625" customWidth="1"/>
    <col min="16" max="16" width="12.875" bestFit="1" customWidth="1"/>
    <col min="17" max="17" width="20.25" customWidth="1"/>
    <col min="18" max="19" width="11.25" bestFit="1" customWidth="1"/>
    <col min="20" max="20" width="11.25" customWidth="1"/>
    <col min="21" max="21" width="18.25" customWidth="1"/>
    <col min="22" max="22" width="12.875" customWidth="1"/>
    <col min="23" max="23" width="13.625" customWidth="1"/>
    <col min="24" max="24" width="14.875" customWidth="1"/>
  </cols>
  <sheetData>
    <row r="1" spans="1:24" ht="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19" t="s">
        <v>13</v>
      </c>
      <c r="O1" s="19" t="s">
        <v>14</v>
      </c>
      <c r="P1" s="19" t="s">
        <v>15</v>
      </c>
      <c r="Q1" s="17" t="s">
        <v>16</v>
      </c>
      <c r="R1" s="19" t="s">
        <v>17</v>
      </c>
      <c r="S1" s="19" t="s">
        <v>18</v>
      </c>
      <c r="T1" s="21" t="s">
        <v>19</v>
      </c>
      <c r="U1" s="17" t="s">
        <v>20</v>
      </c>
      <c r="V1" s="17" t="s">
        <v>21</v>
      </c>
      <c r="W1" s="17" t="s">
        <v>22</v>
      </c>
      <c r="X1" s="17" t="s">
        <v>23</v>
      </c>
    </row>
    <row r="2" spans="1:24" ht="15.75">
      <c r="A2" s="5" t="s">
        <v>24</v>
      </c>
      <c r="B2" s="6">
        <v>46027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>
        <v>2</v>
      </c>
      <c r="I2" s="5">
        <v>55000</v>
      </c>
      <c r="J2" s="7">
        <v>0.05</v>
      </c>
      <c r="K2" s="5" t="s">
        <v>30</v>
      </c>
      <c r="L2" s="5" t="s">
        <v>31</v>
      </c>
      <c r="M2" s="8">
        <v>3</v>
      </c>
      <c r="N2" s="20">
        <f>Ecommerce_data[[#This Row],[Quantity]]*Ecommerce_data[[#This Row],[Unit_Price]]</f>
        <v>110000</v>
      </c>
      <c r="O2" s="20">
        <f>Ecommerce_data[[#This Row],[Revenue]]*Ecommerce_data[[#This Row],[Discount]]</f>
        <v>5500</v>
      </c>
      <c r="P2" s="20">
        <f>Ecommerce_data[[#This Row],[Revenue]]-Ecommerce_data[[#This Row],[Discount_Amount]]</f>
        <v>104500</v>
      </c>
      <c r="Q2" s="20">
        <f>VLOOKUP(G2,Calculations!$A$2:$B$9,2,FALSE)</f>
        <v>40000</v>
      </c>
      <c r="R2" s="20">
        <f>Ecommerce_data[[#This Row],[Quantity]]*Ecommerce_data[[#This Row],[Unit_Cost]]</f>
        <v>80000</v>
      </c>
      <c r="S2" s="20">
        <f>Ecommerce_data[[#This Row],[Net_Sales]]-Ecommerce_data[[#This Row],[Total_Cost]]</f>
        <v>24500</v>
      </c>
      <c r="T2" s="13">
        <f>Ecommerce_data[[#This Row],[Profit]]/Ecommerce_data[[#This Row],[Net_Sales]]</f>
        <v>0.23444976076555024</v>
      </c>
      <c r="U2" s="11" t="str">
        <f>IF(COUNTIF($C$2:C2,C2)=1,"New Customer","Returning Customer")</f>
        <v>New Customer</v>
      </c>
      <c r="V2" s="11" t="str">
        <f t="shared" ref="V2:V33" si="0">IF(M2&lt;=3,"Fast",IF(M2&lt;=5,"Normal","Delayed"))</f>
        <v>Fast</v>
      </c>
      <c r="W2" s="11" t="str">
        <f t="shared" ref="W2:W33" si="1">IF(L2="Returned","Returned",IF(L2="Delivered","Not Returned","Not Returned"))</f>
        <v>Not Returned</v>
      </c>
      <c r="X2" s="28" t="str">
        <f t="shared" ref="X2:X33" si="2">TEXT(B2,"mmm")</f>
        <v>Jan</v>
      </c>
    </row>
    <row r="3" spans="1:24" ht="15">
      <c r="A3" s="1" t="s">
        <v>32</v>
      </c>
      <c r="B3" s="2">
        <v>46028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>
        <v>3</v>
      </c>
      <c r="I3" s="1">
        <v>8500</v>
      </c>
      <c r="J3" s="3">
        <v>0.1</v>
      </c>
      <c r="K3" s="1" t="s">
        <v>38</v>
      </c>
      <c r="L3" s="1" t="s">
        <v>31</v>
      </c>
      <c r="M3" s="4">
        <v>5</v>
      </c>
      <c r="N3" s="20">
        <f>Ecommerce_data[[#This Row],[Quantity]]*Ecommerce_data[[#This Row],[Unit_Price]]</f>
        <v>25500</v>
      </c>
      <c r="O3" s="20">
        <f>Ecommerce_data[[#This Row],[Revenue]]*Ecommerce_data[[#This Row],[Discount]]</f>
        <v>2550</v>
      </c>
      <c r="P3" s="20">
        <f>Ecommerce_data[[#This Row],[Revenue]]-Ecommerce_data[[#This Row],[Discount_Amount]]</f>
        <v>22950</v>
      </c>
      <c r="Q3" s="20">
        <f>VLOOKUP(G3,Calculations!$A$2:$B$9,2,FALSE)</f>
        <v>5500</v>
      </c>
      <c r="R3" s="20">
        <f>Ecommerce_data[[#This Row],[Quantity]]*Ecommerce_data[[#This Row],[Unit_Cost]]</f>
        <v>16500</v>
      </c>
      <c r="S3" s="20">
        <f>Ecommerce_data[[#This Row],[Net_Sales]]-Ecommerce_data[[#This Row],[Total_Cost]]</f>
        <v>6450</v>
      </c>
      <c r="T3" s="13">
        <f>Ecommerce_data[[#This Row],[Profit]]/Ecommerce_data[[#This Row],[Net_Sales]]</f>
        <v>0.28104575163398693</v>
      </c>
      <c r="U3" s="11" t="str">
        <f>IF(COUNTIF($C$2:C3,C3)=1,"New Customer","Returning Customer")</f>
        <v>New Customer</v>
      </c>
      <c r="V3" s="11" t="str">
        <f t="shared" si="0"/>
        <v>Normal</v>
      </c>
      <c r="W3" s="11" t="str">
        <f t="shared" si="1"/>
        <v>Not Returned</v>
      </c>
      <c r="X3" s="28" t="str">
        <f t="shared" si="2"/>
        <v>Jan</v>
      </c>
    </row>
    <row r="4" spans="1:24" ht="15.75">
      <c r="A4" s="5" t="s">
        <v>39</v>
      </c>
      <c r="B4" s="6">
        <v>46030</v>
      </c>
      <c r="C4" s="5" t="s">
        <v>40</v>
      </c>
      <c r="D4" s="5" t="s">
        <v>41</v>
      </c>
      <c r="E4" s="5" t="s">
        <v>42</v>
      </c>
      <c r="F4" s="5" t="s">
        <v>28</v>
      </c>
      <c r="G4" s="5" t="s">
        <v>43</v>
      </c>
      <c r="H4" s="5">
        <v>2</v>
      </c>
      <c r="I4" s="5">
        <v>12000</v>
      </c>
      <c r="J4" s="7">
        <v>0.05</v>
      </c>
      <c r="K4" s="5" t="s">
        <v>30</v>
      </c>
      <c r="L4" s="5" t="s">
        <v>31</v>
      </c>
      <c r="M4" s="8">
        <v>2</v>
      </c>
      <c r="N4" s="20">
        <f>Ecommerce_data[[#This Row],[Quantity]]*Ecommerce_data[[#This Row],[Unit_Price]]</f>
        <v>24000</v>
      </c>
      <c r="O4" s="20">
        <f>Ecommerce_data[[#This Row],[Revenue]]*Ecommerce_data[[#This Row],[Discount]]</f>
        <v>1200</v>
      </c>
      <c r="P4" s="20">
        <f>Ecommerce_data[[#This Row],[Revenue]]-Ecommerce_data[[#This Row],[Discount_Amount]]</f>
        <v>22800</v>
      </c>
      <c r="Q4" s="20">
        <f>VLOOKUP(G4,Calculations!$A$2:$B$9,2,FALSE)</f>
        <v>8000</v>
      </c>
      <c r="R4" s="20">
        <f>Ecommerce_data[[#This Row],[Quantity]]*Ecommerce_data[[#This Row],[Unit_Cost]]</f>
        <v>16000</v>
      </c>
      <c r="S4" s="20">
        <f>Ecommerce_data[[#This Row],[Net_Sales]]-Ecommerce_data[[#This Row],[Total_Cost]]</f>
        <v>6800</v>
      </c>
      <c r="T4" s="13">
        <f>Ecommerce_data[[#This Row],[Profit]]/Ecommerce_data[[#This Row],[Net_Sales]]</f>
        <v>0.2982456140350877</v>
      </c>
      <c r="U4" s="11" t="str">
        <f>IF(COUNTIF($C$2:C4,C4)=1,"New Customer","Returning Customer")</f>
        <v>New Customer</v>
      </c>
      <c r="V4" s="11" t="str">
        <f t="shared" si="0"/>
        <v>Fast</v>
      </c>
      <c r="W4" s="11" t="str">
        <f t="shared" si="1"/>
        <v>Not Returned</v>
      </c>
      <c r="X4" s="28" t="str">
        <f t="shared" si="2"/>
        <v>Jan</v>
      </c>
    </row>
    <row r="5" spans="1:24" ht="15">
      <c r="A5" s="1" t="s">
        <v>44</v>
      </c>
      <c r="B5" s="2">
        <v>46032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>
        <v>20</v>
      </c>
      <c r="I5" s="1">
        <v>250</v>
      </c>
      <c r="J5" s="3">
        <v>0</v>
      </c>
      <c r="K5" s="1" t="s">
        <v>50</v>
      </c>
      <c r="L5" s="1" t="s">
        <v>31</v>
      </c>
      <c r="M5" s="4">
        <v>4</v>
      </c>
      <c r="N5" s="20">
        <f>Ecommerce_data[[#This Row],[Quantity]]*Ecommerce_data[[#This Row],[Unit_Price]]</f>
        <v>5000</v>
      </c>
      <c r="O5" s="20">
        <f>Ecommerce_data[[#This Row],[Revenue]]*Ecommerce_data[[#This Row],[Discount]]</f>
        <v>0</v>
      </c>
      <c r="P5" s="20">
        <f>Ecommerce_data[[#This Row],[Revenue]]-Ecommerce_data[[#This Row],[Discount_Amount]]</f>
        <v>5000</v>
      </c>
      <c r="Q5" s="20">
        <f>VLOOKUP(G5,Calculations!$A$2:$B$9,2,FALSE)</f>
        <v>120</v>
      </c>
      <c r="R5" s="20">
        <f>Ecommerce_data[[#This Row],[Quantity]]*Ecommerce_data[[#This Row],[Unit_Cost]]</f>
        <v>2400</v>
      </c>
      <c r="S5" s="20">
        <f>Ecommerce_data[[#This Row],[Net_Sales]]-Ecommerce_data[[#This Row],[Total_Cost]]</f>
        <v>2600</v>
      </c>
      <c r="T5" s="13">
        <f>Ecommerce_data[[#This Row],[Profit]]/Ecommerce_data[[#This Row],[Net_Sales]]</f>
        <v>0.52</v>
      </c>
      <c r="U5" s="11" t="str">
        <f>IF(COUNTIF($C$2:C5,C5)=1,"New Customer","Returning Customer")</f>
        <v>New Customer</v>
      </c>
      <c r="V5" s="11" t="str">
        <f t="shared" si="0"/>
        <v>Normal</v>
      </c>
      <c r="W5" s="11" t="str">
        <f t="shared" si="1"/>
        <v>Not Returned</v>
      </c>
      <c r="X5" s="28" t="str">
        <f t="shared" si="2"/>
        <v>Jan</v>
      </c>
    </row>
    <row r="6" spans="1:24" ht="15">
      <c r="A6" s="5" t="s">
        <v>51</v>
      </c>
      <c r="B6" s="9">
        <v>46034</v>
      </c>
      <c r="C6" s="5" t="s">
        <v>52</v>
      </c>
      <c r="D6" s="5" t="s">
        <v>53</v>
      </c>
      <c r="E6" s="5" t="s">
        <v>27</v>
      </c>
      <c r="F6" s="5" t="s">
        <v>28</v>
      </c>
      <c r="G6" s="5" t="s">
        <v>54</v>
      </c>
      <c r="H6" s="5">
        <v>4</v>
      </c>
      <c r="I6" s="5">
        <v>1500</v>
      </c>
      <c r="J6" s="7">
        <v>0.05</v>
      </c>
      <c r="K6" s="5" t="s">
        <v>30</v>
      </c>
      <c r="L6" s="5" t="s">
        <v>31</v>
      </c>
      <c r="M6" s="8">
        <v>3</v>
      </c>
      <c r="N6" s="20">
        <f>Ecommerce_data[[#This Row],[Quantity]]*Ecommerce_data[[#This Row],[Unit_Price]]</f>
        <v>6000</v>
      </c>
      <c r="O6" s="20">
        <f>Ecommerce_data[[#This Row],[Revenue]]*Ecommerce_data[[#This Row],[Discount]]</f>
        <v>300</v>
      </c>
      <c r="P6" s="20">
        <f>Ecommerce_data[[#This Row],[Revenue]]-Ecommerce_data[[#This Row],[Discount_Amount]]</f>
        <v>5700</v>
      </c>
      <c r="Q6" s="20">
        <f>VLOOKUP(G6,Calculations!$A$2:$B$9,2,FALSE)</f>
        <v>900</v>
      </c>
      <c r="R6" s="20">
        <f>Ecommerce_data[[#This Row],[Quantity]]*Ecommerce_data[[#This Row],[Unit_Cost]]</f>
        <v>3600</v>
      </c>
      <c r="S6" s="20">
        <f>Ecommerce_data[[#This Row],[Net_Sales]]-Ecommerce_data[[#This Row],[Total_Cost]]</f>
        <v>2100</v>
      </c>
      <c r="T6" s="13">
        <f>Ecommerce_data[[#This Row],[Profit]]/Ecommerce_data[[#This Row],[Net_Sales]]</f>
        <v>0.36842105263157893</v>
      </c>
      <c r="U6" s="11" t="str">
        <f>IF(COUNTIF($C$2:C6,C6)=1,"New Customer","Returning Customer")</f>
        <v>New Customer</v>
      </c>
      <c r="V6" s="11" t="str">
        <f t="shared" si="0"/>
        <v>Fast</v>
      </c>
      <c r="W6" s="11" t="str">
        <f t="shared" si="1"/>
        <v>Not Returned</v>
      </c>
      <c r="X6" s="28" t="str">
        <f t="shared" si="2"/>
        <v>Jan</v>
      </c>
    </row>
    <row r="7" spans="1:24" ht="15">
      <c r="A7" s="1" t="s">
        <v>55</v>
      </c>
      <c r="B7" s="2">
        <v>46037</v>
      </c>
      <c r="C7" s="1" t="s">
        <v>56</v>
      </c>
      <c r="D7" s="1" t="s">
        <v>57</v>
      </c>
      <c r="E7" s="1" t="s">
        <v>35</v>
      </c>
      <c r="F7" s="1" t="s">
        <v>36</v>
      </c>
      <c r="G7" s="1" t="s">
        <v>58</v>
      </c>
      <c r="H7" s="1">
        <v>1</v>
      </c>
      <c r="I7" s="1">
        <v>25000</v>
      </c>
      <c r="J7" s="3">
        <v>0.08</v>
      </c>
      <c r="K7" s="1" t="s">
        <v>38</v>
      </c>
      <c r="L7" s="1" t="s">
        <v>31</v>
      </c>
      <c r="M7" s="4">
        <v>6</v>
      </c>
      <c r="N7" s="20">
        <f>Ecommerce_data[[#This Row],[Quantity]]*Ecommerce_data[[#This Row],[Unit_Price]]</f>
        <v>25000</v>
      </c>
      <c r="O7" s="20">
        <f>Ecommerce_data[[#This Row],[Revenue]]*Ecommerce_data[[#This Row],[Discount]]</f>
        <v>2000</v>
      </c>
      <c r="P7" s="20">
        <f>Ecommerce_data[[#This Row],[Revenue]]-Ecommerce_data[[#This Row],[Discount_Amount]]</f>
        <v>23000</v>
      </c>
      <c r="Q7" s="20">
        <f>VLOOKUP(G7,Calculations!$A$2:$B$9,2,FALSE)</f>
        <v>17000</v>
      </c>
      <c r="R7" s="20">
        <f>Ecommerce_data[[#This Row],[Quantity]]*Ecommerce_data[[#This Row],[Unit_Cost]]</f>
        <v>17000</v>
      </c>
      <c r="S7" s="20">
        <f>Ecommerce_data[[#This Row],[Net_Sales]]-Ecommerce_data[[#This Row],[Total_Cost]]</f>
        <v>6000</v>
      </c>
      <c r="T7" s="13">
        <f>Ecommerce_data[[#This Row],[Profit]]/Ecommerce_data[[#This Row],[Net_Sales]]</f>
        <v>0.2608695652173913</v>
      </c>
      <c r="U7" s="11" t="str">
        <f>IF(COUNTIF($C$2:C7,C7)=1,"New Customer","Returning Customer")</f>
        <v>New Customer</v>
      </c>
      <c r="V7" s="11" t="str">
        <f t="shared" si="0"/>
        <v>Delayed</v>
      </c>
      <c r="W7" s="11" t="str">
        <f t="shared" si="1"/>
        <v>Not Returned</v>
      </c>
      <c r="X7" s="28" t="str">
        <f t="shared" si="2"/>
        <v>Jan</v>
      </c>
    </row>
    <row r="8" spans="1:24" ht="15">
      <c r="A8" s="5" t="s">
        <v>59</v>
      </c>
      <c r="B8" s="9">
        <v>46040</v>
      </c>
      <c r="C8" s="5" t="s">
        <v>60</v>
      </c>
      <c r="D8" s="5" t="s">
        <v>61</v>
      </c>
      <c r="E8" s="5" t="s">
        <v>42</v>
      </c>
      <c r="F8" s="5" t="s">
        <v>28</v>
      </c>
      <c r="G8" s="5" t="s">
        <v>62</v>
      </c>
      <c r="H8" s="5">
        <v>5</v>
      </c>
      <c r="I8" s="5">
        <v>800</v>
      </c>
      <c r="J8" s="7">
        <v>0</v>
      </c>
      <c r="K8" s="5" t="s">
        <v>30</v>
      </c>
      <c r="L8" s="5" t="s">
        <v>31</v>
      </c>
      <c r="M8" s="8">
        <v>2</v>
      </c>
      <c r="N8" s="20">
        <f>Ecommerce_data[[#This Row],[Quantity]]*Ecommerce_data[[#This Row],[Unit_Price]]</f>
        <v>4000</v>
      </c>
      <c r="O8" s="20">
        <f>Ecommerce_data[[#This Row],[Revenue]]*Ecommerce_data[[#This Row],[Discount]]</f>
        <v>0</v>
      </c>
      <c r="P8" s="20">
        <f>Ecommerce_data[[#This Row],[Revenue]]-Ecommerce_data[[#This Row],[Discount_Amount]]</f>
        <v>4000</v>
      </c>
      <c r="Q8" s="20">
        <f>VLOOKUP(G8,Calculations!$A$2:$B$9,2,FALSE)</f>
        <v>450</v>
      </c>
      <c r="R8" s="20">
        <f>Ecommerce_data[[#This Row],[Quantity]]*Ecommerce_data[[#This Row],[Unit_Cost]]</f>
        <v>2250</v>
      </c>
      <c r="S8" s="20">
        <f>Ecommerce_data[[#This Row],[Net_Sales]]-Ecommerce_data[[#This Row],[Total_Cost]]</f>
        <v>1750</v>
      </c>
      <c r="T8" s="13">
        <f>Ecommerce_data[[#This Row],[Profit]]/Ecommerce_data[[#This Row],[Net_Sales]]</f>
        <v>0.4375</v>
      </c>
      <c r="U8" s="11" t="str">
        <f>IF(COUNTIF($C$2:C8,C8)=1,"New Customer","Returning Customer")</f>
        <v>New Customer</v>
      </c>
      <c r="V8" s="11" t="str">
        <f t="shared" si="0"/>
        <v>Fast</v>
      </c>
      <c r="W8" s="11" t="str">
        <f t="shared" si="1"/>
        <v>Not Returned</v>
      </c>
      <c r="X8" s="28" t="str">
        <f t="shared" si="2"/>
        <v>Jan</v>
      </c>
    </row>
    <row r="9" spans="1:24" ht="15.75">
      <c r="A9" s="1" t="s">
        <v>63</v>
      </c>
      <c r="B9" s="10">
        <v>46042</v>
      </c>
      <c r="C9" s="1" t="s">
        <v>64</v>
      </c>
      <c r="D9" s="1" t="s">
        <v>65</v>
      </c>
      <c r="E9" s="1" t="s">
        <v>47</v>
      </c>
      <c r="F9" s="1" t="s">
        <v>48</v>
      </c>
      <c r="G9" s="1" t="s">
        <v>66</v>
      </c>
      <c r="H9" s="1">
        <v>10</v>
      </c>
      <c r="I9" s="1">
        <v>450</v>
      </c>
      <c r="J9" s="3">
        <v>0.05</v>
      </c>
      <c r="K9" s="1" t="s">
        <v>50</v>
      </c>
      <c r="L9" s="1" t="s">
        <v>31</v>
      </c>
      <c r="M9" s="4">
        <v>4</v>
      </c>
      <c r="N9" s="20">
        <f>Ecommerce_data[[#This Row],[Quantity]]*Ecommerce_data[[#This Row],[Unit_Price]]</f>
        <v>4500</v>
      </c>
      <c r="O9" s="20">
        <f>Ecommerce_data[[#This Row],[Revenue]]*Ecommerce_data[[#This Row],[Discount]]</f>
        <v>225</v>
      </c>
      <c r="P9" s="20">
        <f>Ecommerce_data[[#This Row],[Revenue]]-Ecommerce_data[[#This Row],[Discount_Amount]]</f>
        <v>4275</v>
      </c>
      <c r="Q9" s="20">
        <f>VLOOKUP(G9,Calculations!$A$2:$B$9,2,FALSE)</f>
        <v>250</v>
      </c>
      <c r="R9" s="20">
        <f>Ecommerce_data[[#This Row],[Quantity]]*Ecommerce_data[[#This Row],[Unit_Cost]]</f>
        <v>2500</v>
      </c>
      <c r="S9" s="20">
        <f>Ecommerce_data[[#This Row],[Net_Sales]]-Ecommerce_data[[#This Row],[Total_Cost]]</f>
        <v>1775</v>
      </c>
      <c r="T9" s="13">
        <f>Ecommerce_data[[#This Row],[Profit]]/Ecommerce_data[[#This Row],[Net_Sales]]</f>
        <v>0.41520467836257308</v>
      </c>
      <c r="U9" s="11" t="str">
        <f>IF(COUNTIF($C$2:C9,C9)=1,"New Customer","Returning Customer")</f>
        <v>New Customer</v>
      </c>
      <c r="V9" s="11" t="str">
        <f t="shared" si="0"/>
        <v>Normal</v>
      </c>
      <c r="W9" s="11" t="str">
        <f t="shared" si="1"/>
        <v>Not Returned</v>
      </c>
      <c r="X9" s="28" t="str">
        <f t="shared" si="2"/>
        <v>Jan</v>
      </c>
    </row>
    <row r="10" spans="1:24" ht="15">
      <c r="A10" s="5" t="s">
        <v>67</v>
      </c>
      <c r="B10" s="9">
        <v>46044</v>
      </c>
      <c r="C10" s="5" t="s">
        <v>68</v>
      </c>
      <c r="D10" s="5" t="s">
        <v>69</v>
      </c>
      <c r="E10" s="5" t="s">
        <v>27</v>
      </c>
      <c r="F10" s="5" t="s">
        <v>28</v>
      </c>
      <c r="G10" s="5" t="s">
        <v>29</v>
      </c>
      <c r="H10" s="5">
        <v>1</v>
      </c>
      <c r="I10" s="5">
        <v>55000</v>
      </c>
      <c r="J10" s="7">
        <v>0.1</v>
      </c>
      <c r="K10" s="5" t="s">
        <v>38</v>
      </c>
      <c r="L10" s="5" t="s">
        <v>31</v>
      </c>
      <c r="M10" s="8">
        <v>7</v>
      </c>
      <c r="N10" s="20">
        <f>Ecommerce_data[[#This Row],[Quantity]]*Ecommerce_data[[#This Row],[Unit_Price]]</f>
        <v>55000</v>
      </c>
      <c r="O10" s="20">
        <f>Ecommerce_data[[#This Row],[Revenue]]*Ecommerce_data[[#This Row],[Discount]]</f>
        <v>5500</v>
      </c>
      <c r="P10" s="20">
        <f>Ecommerce_data[[#This Row],[Revenue]]-Ecommerce_data[[#This Row],[Discount_Amount]]</f>
        <v>49500</v>
      </c>
      <c r="Q10" s="20">
        <f>VLOOKUP(G10,Calculations!$A$2:$B$9,2,FALSE)</f>
        <v>40000</v>
      </c>
      <c r="R10" s="20">
        <f>Ecommerce_data[[#This Row],[Quantity]]*Ecommerce_data[[#This Row],[Unit_Cost]]</f>
        <v>40000</v>
      </c>
      <c r="S10" s="20">
        <f>Ecommerce_data[[#This Row],[Net_Sales]]-Ecommerce_data[[#This Row],[Total_Cost]]</f>
        <v>9500</v>
      </c>
      <c r="T10" s="13">
        <f>Ecommerce_data[[#This Row],[Profit]]/Ecommerce_data[[#This Row],[Net_Sales]]</f>
        <v>0.19191919191919191</v>
      </c>
      <c r="U10" s="11" t="str">
        <f>IF(COUNTIF($C$2:C10,C10)=1,"New Customer","Returning Customer")</f>
        <v>New Customer</v>
      </c>
      <c r="V10" s="11" t="str">
        <f t="shared" si="0"/>
        <v>Delayed</v>
      </c>
      <c r="W10" s="11" t="str">
        <f t="shared" si="1"/>
        <v>Not Returned</v>
      </c>
      <c r="X10" s="28" t="str">
        <f t="shared" si="2"/>
        <v>Jan</v>
      </c>
    </row>
    <row r="11" spans="1:24" ht="15">
      <c r="A11" s="1" t="s">
        <v>70</v>
      </c>
      <c r="B11" s="2">
        <v>46047</v>
      </c>
      <c r="C11" s="1" t="s">
        <v>71</v>
      </c>
      <c r="D11" s="1" t="s">
        <v>72</v>
      </c>
      <c r="E11" s="1" t="s">
        <v>35</v>
      </c>
      <c r="F11" s="1" t="s">
        <v>36</v>
      </c>
      <c r="G11" s="1" t="s">
        <v>37</v>
      </c>
      <c r="H11" s="1">
        <v>2</v>
      </c>
      <c r="I11" s="1">
        <v>8500</v>
      </c>
      <c r="J11" s="3">
        <v>0.05</v>
      </c>
      <c r="K11" s="1" t="s">
        <v>73</v>
      </c>
      <c r="L11" s="1" t="s">
        <v>31</v>
      </c>
      <c r="M11" s="4">
        <v>5</v>
      </c>
      <c r="N11" s="20">
        <f>Ecommerce_data[[#This Row],[Quantity]]*Ecommerce_data[[#This Row],[Unit_Price]]</f>
        <v>17000</v>
      </c>
      <c r="O11" s="20">
        <f>Ecommerce_data[[#This Row],[Revenue]]*Ecommerce_data[[#This Row],[Discount]]</f>
        <v>850</v>
      </c>
      <c r="P11" s="20">
        <f>Ecommerce_data[[#This Row],[Revenue]]-Ecommerce_data[[#This Row],[Discount_Amount]]</f>
        <v>16150</v>
      </c>
      <c r="Q11" s="20">
        <f>VLOOKUP(G11,Calculations!$A$2:$B$9,2,FALSE)</f>
        <v>5500</v>
      </c>
      <c r="R11" s="20">
        <f>Ecommerce_data[[#This Row],[Quantity]]*Ecommerce_data[[#This Row],[Unit_Cost]]</f>
        <v>11000</v>
      </c>
      <c r="S11" s="20">
        <f>Ecommerce_data[[#This Row],[Net_Sales]]-Ecommerce_data[[#This Row],[Total_Cost]]</f>
        <v>5150</v>
      </c>
      <c r="T11" s="13">
        <f>Ecommerce_data[[#This Row],[Profit]]/Ecommerce_data[[#This Row],[Net_Sales]]</f>
        <v>0.31888544891640869</v>
      </c>
      <c r="U11" s="11" t="str">
        <f>IF(COUNTIF($C$2:C11,C11)=1,"New Customer","Returning Customer")</f>
        <v>New Customer</v>
      </c>
      <c r="V11" s="11" t="str">
        <f t="shared" si="0"/>
        <v>Normal</v>
      </c>
      <c r="W11" s="11" t="str">
        <f t="shared" si="1"/>
        <v>Not Returned</v>
      </c>
      <c r="X11" s="28" t="str">
        <f t="shared" si="2"/>
        <v>Jan</v>
      </c>
    </row>
    <row r="12" spans="1:24" ht="15">
      <c r="A12" s="5" t="s">
        <v>74</v>
      </c>
      <c r="B12" s="9">
        <v>46050</v>
      </c>
      <c r="C12" s="5" t="s">
        <v>25</v>
      </c>
      <c r="D12" s="5" t="s">
        <v>75</v>
      </c>
      <c r="E12" s="5" t="s">
        <v>27</v>
      </c>
      <c r="F12" s="5" t="s">
        <v>28</v>
      </c>
      <c r="G12" s="5" t="s">
        <v>43</v>
      </c>
      <c r="H12" s="5">
        <v>3</v>
      </c>
      <c r="I12" s="5">
        <v>12000</v>
      </c>
      <c r="J12" s="7">
        <v>0.05</v>
      </c>
      <c r="K12" s="5" t="s">
        <v>73</v>
      </c>
      <c r="L12" s="5" t="s">
        <v>31</v>
      </c>
      <c r="M12" s="8">
        <v>3</v>
      </c>
      <c r="N12" s="20">
        <f>Ecommerce_data[[#This Row],[Quantity]]*Ecommerce_data[[#This Row],[Unit_Price]]</f>
        <v>36000</v>
      </c>
      <c r="O12" s="20">
        <f>Ecommerce_data[[#This Row],[Revenue]]*Ecommerce_data[[#This Row],[Discount]]</f>
        <v>1800</v>
      </c>
      <c r="P12" s="20">
        <f>Ecommerce_data[[#This Row],[Revenue]]-Ecommerce_data[[#This Row],[Discount_Amount]]</f>
        <v>34200</v>
      </c>
      <c r="Q12" s="20">
        <f>VLOOKUP(G12,Calculations!$A$2:$B$9,2,FALSE)</f>
        <v>8000</v>
      </c>
      <c r="R12" s="20">
        <f>Ecommerce_data[[#This Row],[Quantity]]*Ecommerce_data[[#This Row],[Unit_Cost]]</f>
        <v>24000</v>
      </c>
      <c r="S12" s="20">
        <f>Ecommerce_data[[#This Row],[Net_Sales]]-Ecommerce_data[[#This Row],[Total_Cost]]</f>
        <v>10200</v>
      </c>
      <c r="T12" s="13">
        <f>Ecommerce_data[[#This Row],[Profit]]/Ecommerce_data[[#This Row],[Net_Sales]]</f>
        <v>0.2982456140350877</v>
      </c>
      <c r="U12" s="11" t="str">
        <f>IF(COUNTIF($C$2:C12,C12)=1,"New Customer","Returning Customer")</f>
        <v>Returning Customer</v>
      </c>
      <c r="V12" s="11" t="str">
        <f t="shared" si="0"/>
        <v>Fast</v>
      </c>
      <c r="W12" s="11" t="str">
        <f t="shared" si="1"/>
        <v>Not Returned</v>
      </c>
      <c r="X12" s="28" t="str">
        <f t="shared" si="2"/>
        <v>Jan</v>
      </c>
    </row>
    <row r="13" spans="1:24" ht="15">
      <c r="A13" s="1" t="s">
        <v>76</v>
      </c>
      <c r="B13" s="2">
        <v>46052</v>
      </c>
      <c r="C13" s="1" t="s">
        <v>33</v>
      </c>
      <c r="D13" s="1" t="s">
        <v>34</v>
      </c>
      <c r="E13" s="1" t="s">
        <v>35</v>
      </c>
      <c r="F13" s="1" t="s">
        <v>48</v>
      </c>
      <c r="G13" s="1" t="s">
        <v>49</v>
      </c>
      <c r="H13" s="1">
        <v>30</v>
      </c>
      <c r="I13" s="1">
        <v>250</v>
      </c>
      <c r="J13" s="3">
        <v>0.1</v>
      </c>
      <c r="K13" s="1" t="s">
        <v>38</v>
      </c>
      <c r="L13" s="1" t="s">
        <v>31</v>
      </c>
      <c r="M13" s="4">
        <v>4</v>
      </c>
      <c r="N13" s="20">
        <f>Ecommerce_data[[#This Row],[Quantity]]*Ecommerce_data[[#This Row],[Unit_Price]]</f>
        <v>7500</v>
      </c>
      <c r="O13" s="20">
        <f>Ecommerce_data[[#This Row],[Revenue]]*Ecommerce_data[[#This Row],[Discount]]</f>
        <v>750</v>
      </c>
      <c r="P13" s="20">
        <f>Ecommerce_data[[#This Row],[Revenue]]-Ecommerce_data[[#This Row],[Discount_Amount]]</f>
        <v>6750</v>
      </c>
      <c r="Q13" s="20">
        <f>VLOOKUP(G13,Calculations!$A$2:$B$9,2,FALSE)</f>
        <v>120</v>
      </c>
      <c r="R13" s="20">
        <f>Ecommerce_data[[#This Row],[Quantity]]*Ecommerce_data[[#This Row],[Unit_Cost]]</f>
        <v>3600</v>
      </c>
      <c r="S13" s="20">
        <f>Ecommerce_data[[#This Row],[Net_Sales]]-Ecommerce_data[[#This Row],[Total_Cost]]</f>
        <v>3150</v>
      </c>
      <c r="T13" s="13">
        <f>Ecommerce_data[[#This Row],[Profit]]/Ecommerce_data[[#This Row],[Net_Sales]]</f>
        <v>0.46666666666666667</v>
      </c>
      <c r="U13" s="11" t="str">
        <f>IF(COUNTIF($C$2:C13,C13)=1,"New Customer","Returning Customer")</f>
        <v>Returning Customer</v>
      </c>
      <c r="V13" s="11" t="str">
        <f t="shared" si="0"/>
        <v>Normal</v>
      </c>
      <c r="W13" s="11" t="str">
        <f t="shared" si="1"/>
        <v>Not Returned</v>
      </c>
      <c r="X13" s="28" t="str">
        <f t="shared" si="2"/>
        <v>Jan</v>
      </c>
    </row>
    <row r="14" spans="1:24" ht="15.75">
      <c r="A14" s="5" t="s">
        <v>77</v>
      </c>
      <c r="B14" s="6">
        <v>46055</v>
      </c>
      <c r="C14" s="5" t="s">
        <v>40</v>
      </c>
      <c r="D14" s="5" t="s">
        <v>41</v>
      </c>
      <c r="E14" s="5" t="s">
        <v>42</v>
      </c>
      <c r="F14" s="5" t="s">
        <v>28</v>
      </c>
      <c r="G14" s="5" t="s">
        <v>29</v>
      </c>
      <c r="H14" s="5">
        <v>2</v>
      </c>
      <c r="I14" s="5">
        <v>55000</v>
      </c>
      <c r="J14" s="7">
        <v>0.05</v>
      </c>
      <c r="K14" s="5" t="s">
        <v>30</v>
      </c>
      <c r="L14" s="5" t="s">
        <v>31</v>
      </c>
      <c r="M14" s="8">
        <v>3</v>
      </c>
      <c r="N14" s="20">
        <f>Ecommerce_data[[#This Row],[Quantity]]*Ecommerce_data[[#This Row],[Unit_Price]]</f>
        <v>110000</v>
      </c>
      <c r="O14" s="20">
        <f>Ecommerce_data[[#This Row],[Revenue]]*Ecommerce_data[[#This Row],[Discount]]</f>
        <v>5500</v>
      </c>
      <c r="P14" s="20">
        <f>Ecommerce_data[[#This Row],[Revenue]]-Ecommerce_data[[#This Row],[Discount_Amount]]</f>
        <v>104500</v>
      </c>
      <c r="Q14" s="20">
        <f>VLOOKUP(G14,Calculations!$A$2:$B$9,2,FALSE)</f>
        <v>40000</v>
      </c>
      <c r="R14" s="20">
        <f>Ecommerce_data[[#This Row],[Quantity]]*Ecommerce_data[[#This Row],[Unit_Cost]]</f>
        <v>80000</v>
      </c>
      <c r="S14" s="20">
        <f>Ecommerce_data[[#This Row],[Net_Sales]]-Ecommerce_data[[#This Row],[Total_Cost]]</f>
        <v>24500</v>
      </c>
      <c r="T14" s="13">
        <f>Ecommerce_data[[#This Row],[Profit]]/Ecommerce_data[[#This Row],[Net_Sales]]</f>
        <v>0.23444976076555024</v>
      </c>
      <c r="U14" s="11" t="str">
        <f>IF(COUNTIF($C$2:C14,C14)=1,"New Customer","Returning Customer")</f>
        <v>Returning Customer</v>
      </c>
      <c r="V14" s="11" t="str">
        <f t="shared" si="0"/>
        <v>Fast</v>
      </c>
      <c r="W14" s="11" t="str">
        <f t="shared" si="1"/>
        <v>Not Returned</v>
      </c>
      <c r="X14" s="28" t="str">
        <f t="shared" si="2"/>
        <v>Feb</v>
      </c>
    </row>
    <row r="15" spans="1:24" ht="15.75">
      <c r="A15" s="1" t="s">
        <v>78</v>
      </c>
      <c r="B15" s="10">
        <v>46057</v>
      </c>
      <c r="C15" s="1" t="s">
        <v>45</v>
      </c>
      <c r="D15" s="1" t="s">
        <v>46</v>
      </c>
      <c r="E15" s="1" t="s">
        <v>47</v>
      </c>
      <c r="F15" s="1" t="s">
        <v>36</v>
      </c>
      <c r="G15" s="1" t="s">
        <v>58</v>
      </c>
      <c r="H15" s="1">
        <v>2</v>
      </c>
      <c r="I15" s="1">
        <v>25000</v>
      </c>
      <c r="J15" s="3">
        <v>0.1</v>
      </c>
      <c r="K15" s="1" t="s">
        <v>79</v>
      </c>
      <c r="L15" s="1" t="s">
        <v>31</v>
      </c>
      <c r="M15" s="4">
        <v>6</v>
      </c>
      <c r="N15" s="20">
        <f>Ecommerce_data[[#This Row],[Quantity]]*Ecommerce_data[[#This Row],[Unit_Price]]</f>
        <v>50000</v>
      </c>
      <c r="O15" s="20">
        <f>Ecommerce_data[[#This Row],[Revenue]]*Ecommerce_data[[#This Row],[Discount]]</f>
        <v>5000</v>
      </c>
      <c r="P15" s="20">
        <f>Ecommerce_data[[#This Row],[Revenue]]-Ecommerce_data[[#This Row],[Discount_Amount]]</f>
        <v>45000</v>
      </c>
      <c r="Q15" s="20">
        <f>VLOOKUP(G15,Calculations!$A$2:$B$9,2,FALSE)</f>
        <v>17000</v>
      </c>
      <c r="R15" s="20">
        <f>Ecommerce_data[[#This Row],[Quantity]]*Ecommerce_data[[#This Row],[Unit_Cost]]</f>
        <v>34000</v>
      </c>
      <c r="S15" s="20">
        <f>Ecommerce_data[[#This Row],[Net_Sales]]-Ecommerce_data[[#This Row],[Total_Cost]]</f>
        <v>11000</v>
      </c>
      <c r="T15" s="13">
        <f>Ecommerce_data[[#This Row],[Profit]]/Ecommerce_data[[#This Row],[Net_Sales]]</f>
        <v>0.24444444444444444</v>
      </c>
      <c r="U15" s="11" t="str">
        <f>IF(COUNTIF($C$2:C15,C15)=1,"New Customer","Returning Customer")</f>
        <v>Returning Customer</v>
      </c>
      <c r="V15" s="11" t="str">
        <f t="shared" si="0"/>
        <v>Delayed</v>
      </c>
      <c r="W15" s="11" t="str">
        <f t="shared" si="1"/>
        <v>Not Returned</v>
      </c>
      <c r="X15" s="28" t="str">
        <f t="shared" si="2"/>
        <v>Feb</v>
      </c>
    </row>
    <row r="16" spans="1:24" ht="15.75">
      <c r="A16" s="5" t="s">
        <v>80</v>
      </c>
      <c r="B16" s="6">
        <v>46059</v>
      </c>
      <c r="C16" s="5" t="s">
        <v>52</v>
      </c>
      <c r="D16" s="5" t="s">
        <v>53</v>
      </c>
      <c r="E16" s="5" t="s">
        <v>27</v>
      </c>
      <c r="F16" s="5" t="s">
        <v>28</v>
      </c>
      <c r="G16" s="5" t="s">
        <v>54</v>
      </c>
      <c r="H16" s="5">
        <v>6</v>
      </c>
      <c r="I16" s="5">
        <v>1500</v>
      </c>
      <c r="J16" s="7">
        <v>0.05</v>
      </c>
      <c r="K16" s="5" t="s">
        <v>30</v>
      </c>
      <c r="L16" s="5" t="s">
        <v>31</v>
      </c>
      <c r="M16" s="8">
        <v>2</v>
      </c>
      <c r="N16" s="20">
        <f>Ecommerce_data[[#This Row],[Quantity]]*Ecommerce_data[[#This Row],[Unit_Price]]</f>
        <v>9000</v>
      </c>
      <c r="O16" s="20">
        <f>Ecommerce_data[[#This Row],[Revenue]]*Ecommerce_data[[#This Row],[Discount]]</f>
        <v>450</v>
      </c>
      <c r="P16" s="20">
        <f>Ecommerce_data[[#This Row],[Revenue]]-Ecommerce_data[[#This Row],[Discount_Amount]]</f>
        <v>8550</v>
      </c>
      <c r="Q16" s="20">
        <f>VLOOKUP(G16,Calculations!$A$2:$B$9,2,FALSE)</f>
        <v>900</v>
      </c>
      <c r="R16" s="20">
        <f>Ecommerce_data[[#This Row],[Quantity]]*Ecommerce_data[[#This Row],[Unit_Cost]]</f>
        <v>5400</v>
      </c>
      <c r="S16" s="20">
        <f>Ecommerce_data[[#This Row],[Net_Sales]]-Ecommerce_data[[#This Row],[Total_Cost]]</f>
        <v>3150</v>
      </c>
      <c r="T16" s="13">
        <f>Ecommerce_data[[#This Row],[Profit]]/Ecommerce_data[[#This Row],[Net_Sales]]</f>
        <v>0.36842105263157893</v>
      </c>
      <c r="U16" s="11" t="str">
        <f>IF(COUNTIF($C$2:C16,C16)=1,"New Customer","Returning Customer")</f>
        <v>Returning Customer</v>
      </c>
      <c r="V16" s="11" t="str">
        <f t="shared" si="0"/>
        <v>Fast</v>
      </c>
      <c r="W16" s="11" t="str">
        <f t="shared" si="1"/>
        <v>Not Returned</v>
      </c>
      <c r="X16" s="28" t="str">
        <f t="shared" si="2"/>
        <v>Feb</v>
      </c>
    </row>
    <row r="17" spans="1:24" ht="15.75">
      <c r="A17" s="1" t="s">
        <v>81</v>
      </c>
      <c r="B17" s="10">
        <v>46061</v>
      </c>
      <c r="C17" s="1" t="s">
        <v>56</v>
      </c>
      <c r="D17" s="1" t="s">
        <v>57</v>
      </c>
      <c r="E17" s="1" t="s">
        <v>35</v>
      </c>
      <c r="F17" s="1" t="s">
        <v>48</v>
      </c>
      <c r="G17" s="1" t="s">
        <v>66</v>
      </c>
      <c r="H17" s="1">
        <v>25</v>
      </c>
      <c r="I17" s="1">
        <v>450</v>
      </c>
      <c r="J17" s="3">
        <v>0</v>
      </c>
      <c r="K17" s="1" t="s">
        <v>50</v>
      </c>
      <c r="L17" s="1" t="s">
        <v>31</v>
      </c>
      <c r="M17" s="4">
        <v>4</v>
      </c>
      <c r="N17" s="20">
        <f>Ecommerce_data[[#This Row],[Quantity]]*Ecommerce_data[[#This Row],[Unit_Price]]</f>
        <v>11250</v>
      </c>
      <c r="O17" s="20">
        <f>Ecommerce_data[[#This Row],[Revenue]]*Ecommerce_data[[#This Row],[Discount]]</f>
        <v>0</v>
      </c>
      <c r="P17" s="20">
        <f>Ecommerce_data[[#This Row],[Revenue]]-Ecommerce_data[[#This Row],[Discount_Amount]]</f>
        <v>11250</v>
      </c>
      <c r="Q17" s="20">
        <f>VLOOKUP(G17,Calculations!$A$2:$B$9,2,FALSE)</f>
        <v>250</v>
      </c>
      <c r="R17" s="20">
        <f>Ecommerce_data[[#This Row],[Quantity]]*Ecommerce_data[[#This Row],[Unit_Cost]]</f>
        <v>6250</v>
      </c>
      <c r="S17" s="20">
        <f>Ecommerce_data[[#This Row],[Net_Sales]]-Ecommerce_data[[#This Row],[Total_Cost]]</f>
        <v>5000</v>
      </c>
      <c r="T17" s="13">
        <f>Ecommerce_data[[#This Row],[Profit]]/Ecommerce_data[[#This Row],[Net_Sales]]</f>
        <v>0.44444444444444442</v>
      </c>
      <c r="U17" s="11" t="str">
        <f>IF(COUNTIF($C$2:C17,C17)=1,"New Customer","Returning Customer")</f>
        <v>Returning Customer</v>
      </c>
      <c r="V17" s="11" t="str">
        <f t="shared" si="0"/>
        <v>Normal</v>
      </c>
      <c r="W17" s="11" t="str">
        <f t="shared" si="1"/>
        <v>Not Returned</v>
      </c>
      <c r="X17" s="28" t="str">
        <f t="shared" si="2"/>
        <v>Feb</v>
      </c>
    </row>
    <row r="18" spans="1:24" ht="15.75">
      <c r="A18" s="5" t="s">
        <v>82</v>
      </c>
      <c r="B18" s="6">
        <v>46063</v>
      </c>
      <c r="C18" s="5" t="s">
        <v>60</v>
      </c>
      <c r="D18" s="5" t="s">
        <v>61</v>
      </c>
      <c r="E18" s="5" t="s">
        <v>42</v>
      </c>
      <c r="F18" s="5" t="s">
        <v>28</v>
      </c>
      <c r="G18" s="5" t="s">
        <v>43</v>
      </c>
      <c r="H18" s="5">
        <v>4</v>
      </c>
      <c r="I18" s="5">
        <v>12000</v>
      </c>
      <c r="J18" s="7">
        <v>0.08</v>
      </c>
      <c r="K18" s="5" t="s">
        <v>38</v>
      </c>
      <c r="L18" s="5" t="s">
        <v>31</v>
      </c>
      <c r="M18" s="8">
        <v>3</v>
      </c>
      <c r="N18" s="20">
        <f>Ecommerce_data[[#This Row],[Quantity]]*Ecommerce_data[[#This Row],[Unit_Price]]</f>
        <v>48000</v>
      </c>
      <c r="O18" s="20">
        <f>Ecommerce_data[[#This Row],[Revenue]]*Ecommerce_data[[#This Row],[Discount]]</f>
        <v>3840</v>
      </c>
      <c r="P18" s="20">
        <f>Ecommerce_data[[#This Row],[Revenue]]-Ecommerce_data[[#This Row],[Discount_Amount]]</f>
        <v>44160</v>
      </c>
      <c r="Q18" s="20">
        <f>VLOOKUP(G18,Calculations!$A$2:$B$9,2,FALSE)</f>
        <v>8000</v>
      </c>
      <c r="R18" s="20">
        <f>Ecommerce_data[[#This Row],[Quantity]]*Ecommerce_data[[#This Row],[Unit_Cost]]</f>
        <v>32000</v>
      </c>
      <c r="S18" s="20">
        <f>Ecommerce_data[[#This Row],[Net_Sales]]-Ecommerce_data[[#This Row],[Total_Cost]]</f>
        <v>12160</v>
      </c>
      <c r="T18" s="13">
        <f>Ecommerce_data[[#This Row],[Profit]]/Ecommerce_data[[#This Row],[Net_Sales]]</f>
        <v>0.27536231884057971</v>
      </c>
      <c r="U18" s="11" t="str">
        <f>IF(COUNTIF($C$2:C18,C18)=1,"New Customer","Returning Customer")</f>
        <v>Returning Customer</v>
      </c>
      <c r="V18" s="11" t="str">
        <f t="shared" si="0"/>
        <v>Fast</v>
      </c>
      <c r="W18" s="11" t="str">
        <f t="shared" si="1"/>
        <v>Not Returned</v>
      </c>
      <c r="X18" s="28" t="str">
        <f t="shared" si="2"/>
        <v>Feb</v>
      </c>
    </row>
    <row r="19" spans="1:24" ht="15.75">
      <c r="A19" s="1" t="s">
        <v>83</v>
      </c>
      <c r="B19" s="10">
        <v>46065</v>
      </c>
      <c r="C19" s="1" t="s">
        <v>64</v>
      </c>
      <c r="D19" s="1" t="s">
        <v>65</v>
      </c>
      <c r="E19" s="1" t="s">
        <v>47</v>
      </c>
      <c r="F19" s="1" t="s">
        <v>36</v>
      </c>
      <c r="G19" s="1" t="s">
        <v>37</v>
      </c>
      <c r="H19" s="1">
        <v>2</v>
      </c>
      <c r="I19" s="1">
        <v>8500</v>
      </c>
      <c r="J19" s="3">
        <v>0.05</v>
      </c>
      <c r="K19" s="1" t="s">
        <v>73</v>
      </c>
      <c r="L19" s="1" t="s">
        <v>31</v>
      </c>
      <c r="M19" s="4">
        <v>5</v>
      </c>
      <c r="N19" s="20">
        <f>Ecommerce_data[[#This Row],[Quantity]]*Ecommerce_data[[#This Row],[Unit_Price]]</f>
        <v>17000</v>
      </c>
      <c r="O19" s="20">
        <f>Ecommerce_data[[#This Row],[Revenue]]*Ecommerce_data[[#This Row],[Discount]]</f>
        <v>850</v>
      </c>
      <c r="P19" s="20">
        <f>Ecommerce_data[[#This Row],[Revenue]]-Ecommerce_data[[#This Row],[Discount_Amount]]</f>
        <v>16150</v>
      </c>
      <c r="Q19" s="20">
        <f>VLOOKUP(G19,Calculations!$A$2:$B$9,2,FALSE)</f>
        <v>5500</v>
      </c>
      <c r="R19" s="20">
        <f>Ecommerce_data[[#This Row],[Quantity]]*Ecommerce_data[[#This Row],[Unit_Cost]]</f>
        <v>11000</v>
      </c>
      <c r="S19" s="20">
        <f>Ecommerce_data[[#This Row],[Net_Sales]]-Ecommerce_data[[#This Row],[Total_Cost]]</f>
        <v>5150</v>
      </c>
      <c r="T19" s="13">
        <f>Ecommerce_data[[#This Row],[Profit]]/Ecommerce_data[[#This Row],[Net_Sales]]</f>
        <v>0.31888544891640869</v>
      </c>
      <c r="U19" s="11" t="str">
        <f>IF(COUNTIF($C$2:C19,C19)=1,"New Customer","Returning Customer")</f>
        <v>Returning Customer</v>
      </c>
      <c r="V19" s="11" t="str">
        <f t="shared" si="0"/>
        <v>Normal</v>
      </c>
      <c r="W19" s="11" t="str">
        <f t="shared" si="1"/>
        <v>Not Returned</v>
      </c>
      <c r="X19" s="28" t="str">
        <f t="shared" si="2"/>
        <v>Feb</v>
      </c>
    </row>
    <row r="20" spans="1:24" ht="15.75">
      <c r="A20" s="5" t="s">
        <v>84</v>
      </c>
      <c r="B20" s="6">
        <v>46068</v>
      </c>
      <c r="C20" s="5" t="s">
        <v>68</v>
      </c>
      <c r="D20" s="5" t="s">
        <v>69</v>
      </c>
      <c r="E20" s="5" t="s">
        <v>27</v>
      </c>
      <c r="F20" s="5" t="s">
        <v>28</v>
      </c>
      <c r="G20" s="5" t="s">
        <v>29</v>
      </c>
      <c r="H20" s="5">
        <v>1</v>
      </c>
      <c r="I20" s="5">
        <v>55000</v>
      </c>
      <c r="J20" s="7">
        <v>0.05</v>
      </c>
      <c r="K20" s="5" t="s">
        <v>73</v>
      </c>
      <c r="L20" s="5" t="s">
        <v>31</v>
      </c>
      <c r="M20" s="8">
        <v>4</v>
      </c>
      <c r="N20" s="20">
        <f>Ecommerce_data[[#This Row],[Quantity]]*Ecommerce_data[[#This Row],[Unit_Price]]</f>
        <v>55000</v>
      </c>
      <c r="O20" s="20">
        <f>Ecommerce_data[[#This Row],[Revenue]]*Ecommerce_data[[#This Row],[Discount]]</f>
        <v>2750</v>
      </c>
      <c r="P20" s="20">
        <f>Ecommerce_data[[#This Row],[Revenue]]-Ecommerce_data[[#This Row],[Discount_Amount]]</f>
        <v>52250</v>
      </c>
      <c r="Q20" s="20">
        <f>VLOOKUP(G20,Calculations!$A$2:$B$9,2,FALSE)</f>
        <v>40000</v>
      </c>
      <c r="R20" s="20">
        <f>Ecommerce_data[[#This Row],[Quantity]]*Ecommerce_data[[#This Row],[Unit_Cost]]</f>
        <v>40000</v>
      </c>
      <c r="S20" s="20">
        <f>Ecommerce_data[[#This Row],[Net_Sales]]-Ecommerce_data[[#This Row],[Total_Cost]]</f>
        <v>12250</v>
      </c>
      <c r="T20" s="13">
        <f>Ecommerce_data[[#This Row],[Profit]]/Ecommerce_data[[#This Row],[Net_Sales]]</f>
        <v>0.23444976076555024</v>
      </c>
      <c r="U20" s="11" t="str">
        <f>IF(COUNTIF($C$2:C20,C20)=1,"New Customer","Returning Customer")</f>
        <v>Returning Customer</v>
      </c>
      <c r="V20" s="11" t="str">
        <f t="shared" si="0"/>
        <v>Normal</v>
      </c>
      <c r="W20" s="11" t="str">
        <f t="shared" si="1"/>
        <v>Not Returned</v>
      </c>
      <c r="X20" s="28" t="str">
        <f t="shared" si="2"/>
        <v>Feb</v>
      </c>
    </row>
    <row r="21" spans="1:24" ht="15.75">
      <c r="A21" s="1" t="s">
        <v>85</v>
      </c>
      <c r="B21" s="10">
        <v>46071</v>
      </c>
      <c r="C21" s="1" t="s">
        <v>71</v>
      </c>
      <c r="D21" s="1" t="s">
        <v>72</v>
      </c>
      <c r="E21" s="1" t="s">
        <v>35</v>
      </c>
      <c r="F21" s="1" t="s">
        <v>48</v>
      </c>
      <c r="G21" s="1" t="s">
        <v>49</v>
      </c>
      <c r="H21" s="1">
        <v>40</v>
      </c>
      <c r="I21" s="1">
        <v>250</v>
      </c>
      <c r="J21" s="3">
        <v>0.1</v>
      </c>
      <c r="K21" s="1" t="s">
        <v>38</v>
      </c>
      <c r="L21" s="1" t="s">
        <v>31</v>
      </c>
      <c r="M21" s="4">
        <v>5</v>
      </c>
      <c r="N21" s="20">
        <f>Ecommerce_data[[#This Row],[Quantity]]*Ecommerce_data[[#This Row],[Unit_Price]]</f>
        <v>10000</v>
      </c>
      <c r="O21" s="20">
        <f>Ecommerce_data[[#This Row],[Revenue]]*Ecommerce_data[[#This Row],[Discount]]</f>
        <v>1000</v>
      </c>
      <c r="P21" s="20">
        <f>Ecommerce_data[[#This Row],[Revenue]]-Ecommerce_data[[#This Row],[Discount_Amount]]</f>
        <v>9000</v>
      </c>
      <c r="Q21" s="20">
        <f>VLOOKUP(G21,Calculations!$A$2:$B$9,2,FALSE)</f>
        <v>120</v>
      </c>
      <c r="R21" s="20">
        <f>Ecommerce_data[[#This Row],[Quantity]]*Ecommerce_data[[#This Row],[Unit_Cost]]</f>
        <v>4800</v>
      </c>
      <c r="S21" s="20">
        <f>Ecommerce_data[[#This Row],[Net_Sales]]-Ecommerce_data[[#This Row],[Total_Cost]]</f>
        <v>4200</v>
      </c>
      <c r="T21" s="13">
        <f>Ecommerce_data[[#This Row],[Profit]]/Ecommerce_data[[#This Row],[Net_Sales]]</f>
        <v>0.46666666666666667</v>
      </c>
      <c r="U21" s="11" t="str">
        <f>IF(COUNTIF($C$2:C21,C21)=1,"New Customer","Returning Customer")</f>
        <v>Returning Customer</v>
      </c>
      <c r="V21" s="11" t="str">
        <f t="shared" si="0"/>
        <v>Normal</v>
      </c>
      <c r="W21" s="11" t="str">
        <f t="shared" si="1"/>
        <v>Not Returned</v>
      </c>
      <c r="X21" s="28" t="str">
        <f t="shared" si="2"/>
        <v>Feb</v>
      </c>
    </row>
    <row r="22" spans="1:24" ht="15.75">
      <c r="A22" s="5" t="s">
        <v>86</v>
      </c>
      <c r="B22" s="6">
        <v>46073</v>
      </c>
      <c r="C22" s="5" t="s">
        <v>87</v>
      </c>
      <c r="D22" s="5" t="s">
        <v>88</v>
      </c>
      <c r="E22" s="5" t="s">
        <v>42</v>
      </c>
      <c r="F22" s="5" t="s">
        <v>28</v>
      </c>
      <c r="G22" s="5" t="s">
        <v>62</v>
      </c>
      <c r="H22" s="5">
        <v>8</v>
      </c>
      <c r="I22" s="5">
        <v>800</v>
      </c>
      <c r="J22" s="7">
        <v>0</v>
      </c>
      <c r="K22" s="5" t="s">
        <v>73</v>
      </c>
      <c r="L22" s="5" t="s">
        <v>31</v>
      </c>
      <c r="M22" s="8">
        <v>2</v>
      </c>
      <c r="N22" s="20">
        <f>Ecommerce_data[[#This Row],[Quantity]]*Ecommerce_data[[#This Row],[Unit_Price]]</f>
        <v>6400</v>
      </c>
      <c r="O22" s="20">
        <f>Ecommerce_data[[#This Row],[Revenue]]*Ecommerce_data[[#This Row],[Discount]]</f>
        <v>0</v>
      </c>
      <c r="P22" s="20">
        <f>Ecommerce_data[[#This Row],[Revenue]]-Ecommerce_data[[#This Row],[Discount_Amount]]</f>
        <v>6400</v>
      </c>
      <c r="Q22" s="20">
        <f>VLOOKUP(G22,Calculations!$A$2:$B$9,2,FALSE)</f>
        <v>450</v>
      </c>
      <c r="R22" s="20">
        <f>Ecommerce_data[[#This Row],[Quantity]]*Ecommerce_data[[#This Row],[Unit_Cost]]</f>
        <v>3600</v>
      </c>
      <c r="S22" s="20">
        <f>Ecommerce_data[[#This Row],[Net_Sales]]-Ecommerce_data[[#This Row],[Total_Cost]]</f>
        <v>2800</v>
      </c>
      <c r="T22" s="13">
        <f>Ecommerce_data[[#This Row],[Profit]]/Ecommerce_data[[#This Row],[Net_Sales]]</f>
        <v>0.4375</v>
      </c>
      <c r="U22" s="11" t="str">
        <f>IF(COUNTIF($C$2:C22,C22)=1,"New Customer","Returning Customer")</f>
        <v>New Customer</v>
      </c>
      <c r="V22" s="11" t="str">
        <f t="shared" si="0"/>
        <v>Fast</v>
      </c>
      <c r="W22" s="11" t="str">
        <f t="shared" si="1"/>
        <v>Not Returned</v>
      </c>
      <c r="X22" s="28" t="str">
        <f t="shared" si="2"/>
        <v>Feb</v>
      </c>
    </row>
    <row r="23" spans="1:24" ht="15.75">
      <c r="A23" s="1" t="s">
        <v>89</v>
      </c>
      <c r="B23" s="10">
        <v>46075</v>
      </c>
      <c r="C23" s="1" t="s">
        <v>90</v>
      </c>
      <c r="D23" s="1" t="s">
        <v>91</v>
      </c>
      <c r="E23" s="1" t="s">
        <v>47</v>
      </c>
      <c r="F23" s="1" t="s">
        <v>36</v>
      </c>
      <c r="G23" s="1" t="s">
        <v>58</v>
      </c>
      <c r="H23" s="1">
        <v>1</v>
      </c>
      <c r="I23" s="1">
        <v>25000</v>
      </c>
      <c r="J23" s="3">
        <v>0.05</v>
      </c>
      <c r="K23" s="1" t="s">
        <v>38</v>
      </c>
      <c r="L23" s="1" t="s">
        <v>31</v>
      </c>
      <c r="M23" s="4">
        <v>7</v>
      </c>
      <c r="N23" s="20">
        <f>Ecommerce_data[[#This Row],[Quantity]]*Ecommerce_data[[#This Row],[Unit_Price]]</f>
        <v>25000</v>
      </c>
      <c r="O23" s="20">
        <f>Ecommerce_data[[#This Row],[Revenue]]*Ecommerce_data[[#This Row],[Discount]]</f>
        <v>1250</v>
      </c>
      <c r="P23" s="20">
        <f>Ecommerce_data[[#This Row],[Revenue]]-Ecommerce_data[[#This Row],[Discount_Amount]]</f>
        <v>23750</v>
      </c>
      <c r="Q23" s="20">
        <f>VLOOKUP(G23,Calculations!$A$2:$B$9,2,FALSE)</f>
        <v>17000</v>
      </c>
      <c r="R23" s="20">
        <f>Ecommerce_data[[#This Row],[Quantity]]*Ecommerce_data[[#This Row],[Unit_Cost]]</f>
        <v>17000</v>
      </c>
      <c r="S23" s="20">
        <f>Ecommerce_data[[#This Row],[Net_Sales]]-Ecommerce_data[[#This Row],[Total_Cost]]</f>
        <v>6750</v>
      </c>
      <c r="T23" s="13">
        <f>Ecommerce_data[[#This Row],[Profit]]/Ecommerce_data[[#This Row],[Net_Sales]]</f>
        <v>0.28421052631578947</v>
      </c>
      <c r="U23" s="11" t="str">
        <f>IF(COUNTIF($C$2:C23,C23)=1,"New Customer","Returning Customer")</f>
        <v>New Customer</v>
      </c>
      <c r="V23" s="11" t="str">
        <f t="shared" si="0"/>
        <v>Delayed</v>
      </c>
      <c r="W23" s="11" t="str">
        <f t="shared" si="1"/>
        <v>Not Returned</v>
      </c>
      <c r="X23" s="28" t="str">
        <f t="shared" si="2"/>
        <v>Feb</v>
      </c>
    </row>
    <row r="24" spans="1:24" ht="15.75">
      <c r="A24" s="5" t="s">
        <v>92</v>
      </c>
      <c r="B24" s="6">
        <v>46077</v>
      </c>
      <c r="C24" s="5" t="s">
        <v>93</v>
      </c>
      <c r="D24" s="5" t="s">
        <v>94</v>
      </c>
      <c r="E24" s="5" t="s">
        <v>27</v>
      </c>
      <c r="F24" s="5" t="s">
        <v>28</v>
      </c>
      <c r="G24" s="5" t="s">
        <v>43</v>
      </c>
      <c r="H24" s="5">
        <v>2</v>
      </c>
      <c r="I24" s="5">
        <v>12000</v>
      </c>
      <c r="J24" s="7">
        <v>0.1</v>
      </c>
      <c r="K24" s="5" t="s">
        <v>30</v>
      </c>
      <c r="L24" s="5" t="s">
        <v>31</v>
      </c>
      <c r="M24" s="8">
        <v>3</v>
      </c>
      <c r="N24" s="20">
        <f>Ecommerce_data[[#This Row],[Quantity]]*Ecommerce_data[[#This Row],[Unit_Price]]</f>
        <v>24000</v>
      </c>
      <c r="O24" s="20">
        <f>Ecommerce_data[[#This Row],[Revenue]]*Ecommerce_data[[#This Row],[Discount]]</f>
        <v>2400</v>
      </c>
      <c r="P24" s="20">
        <f>Ecommerce_data[[#This Row],[Revenue]]-Ecommerce_data[[#This Row],[Discount_Amount]]</f>
        <v>21600</v>
      </c>
      <c r="Q24" s="20">
        <f>VLOOKUP(G24,Calculations!$A$2:$B$9,2,FALSE)</f>
        <v>8000</v>
      </c>
      <c r="R24" s="20">
        <f>Ecommerce_data[[#This Row],[Quantity]]*Ecommerce_data[[#This Row],[Unit_Cost]]</f>
        <v>16000</v>
      </c>
      <c r="S24" s="20">
        <f>Ecommerce_data[[#This Row],[Net_Sales]]-Ecommerce_data[[#This Row],[Total_Cost]]</f>
        <v>5600</v>
      </c>
      <c r="T24" s="13">
        <f>Ecommerce_data[[#This Row],[Profit]]/Ecommerce_data[[#This Row],[Net_Sales]]</f>
        <v>0.25925925925925924</v>
      </c>
      <c r="U24" s="11" t="str">
        <f>IF(COUNTIF($C$2:C24,C24)=1,"New Customer","Returning Customer")</f>
        <v>New Customer</v>
      </c>
      <c r="V24" s="11" t="str">
        <f t="shared" si="0"/>
        <v>Fast</v>
      </c>
      <c r="W24" s="11" t="str">
        <f t="shared" si="1"/>
        <v>Not Returned</v>
      </c>
      <c r="X24" s="28" t="str">
        <f t="shared" si="2"/>
        <v>Feb</v>
      </c>
    </row>
    <row r="25" spans="1:24" ht="15.75">
      <c r="A25" s="1" t="s">
        <v>95</v>
      </c>
      <c r="B25" s="10">
        <v>46079</v>
      </c>
      <c r="C25" s="1" t="s">
        <v>96</v>
      </c>
      <c r="D25" s="1" t="s">
        <v>97</v>
      </c>
      <c r="E25" s="1" t="s">
        <v>35</v>
      </c>
      <c r="F25" s="1" t="s">
        <v>48</v>
      </c>
      <c r="G25" s="1" t="s">
        <v>66</v>
      </c>
      <c r="H25" s="1">
        <v>30</v>
      </c>
      <c r="I25" s="1">
        <v>450</v>
      </c>
      <c r="J25" s="3">
        <v>0.05</v>
      </c>
      <c r="K25" s="1" t="s">
        <v>50</v>
      </c>
      <c r="L25" s="1" t="s">
        <v>31</v>
      </c>
      <c r="M25" s="4">
        <v>4</v>
      </c>
      <c r="N25" s="20">
        <f>Ecommerce_data[[#This Row],[Quantity]]*Ecommerce_data[[#This Row],[Unit_Price]]</f>
        <v>13500</v>
      </c>
      <c r="O25" s="20">
        <f>Ecommerce_data[[#This Row],[Revenue]]*Ecommerce_data[[#This Row],[Discount]]</f>
        <v>675</v>
      </c>
      <c r="P25" s="20">
        <f>Ecommerce_data[[#This Row],[Revenue]]-Ecommerce_data[[#This Row],[Discount_Amount]]</f>
        <v>12825</v>
      </c>
      <c r="Q25" s="20">
        <f>VLOOKUP(G25,Calculations!$A$2:$B$9,2,FALSE)</f>
        <v>250</v>
      </c>
      <c r="R25" s="20">
        <f>Ecommerce_data[[#This Row],[Quantity]]*Ecommerce_data[[#This Row],[Unit_Cost]]</f>
        <v>7500</v>
      </c>
      <c r="S25" s="20">
        <f>Ecommerce_data[[#This Row],[Net_Sales]]-Ecommerce_data[[#This Row],[Total_Cost]]</f>
        <v>5325</v>
      </c>
      <c r="T25" s="13">
        <f>Ecommerce_data[[#This Row],[Profit]]/Ecommerce_data[[#This Row],[Net_Sales]]</f>
        <v>0.41520467836257308</v>
      </c>
      <c r="U25" s="11" t="str">
        <f>IF(COUNTIF($C$2:C25,C25)=1,"New Customer","Returning Customer")</f>
        <v>New Customer</v>
      </c>
      <c r="V25" s="11" t="str">
        <f t="shared" si="0"/>
        <v>Normal</v>
      </c>
      <c r="W25" s="11" t="str">
        <f t="shared" si="1"/>
        <v>Not Returned</v>
      </c>
      <c r="X25" s="28" t="str">
        <f t="shared" si="2"/>
        <v>Feb</v>
      </c>
    </row>
    <row r="26" spans="1:24" ht="15.75">
      <c r="A26" s="5" t="s">
        <v>98</v>
      </c>
      <c r="B26" s="6">
        <v>46081</v>
      </c>
      <c r="C26" s="5" t="s">
        <v>99</v>
      </c>
      <c r="D26" s="5" t="s">
        <v>100</v>
      </c>
      <c r="E26" s="5" t="s">
        <v>42</v>
      </c>
      <c r="F26" s="5" t="s">
        <v>28</v>
      </c>
      <c r="G26" s="5" t="s">
        <v>29</v>
      </c>
      <c r="H26" s="5">
        <v>1</v>
      </c>
      <c r="I26" s="5">
        <v>55000</v>
      </c>
      <c r="J26" s="7">
        <v>0.08</v>
      </c>
      <c r="K26" s="5" t="s">
        <v>38</v>
      </c>
      <c r="L26" s="5" t="s">
        <v>31</v>
      </c>
      <c r="M26" s="8">
        <v>6</v>
      </c>
      <c r="N26" s="20">
        <f>Ecommerce_data[[#This Row],[Quantity]]*Ecommerce_data[[#This Row],[Unit_Price]]</f>
        <v>55000</v>
      </c>
      <c r="O26" s="20">
        <f>Ecommerce_data[[#This Row],[Revenue]]*Ecommerce_data[[#This Row],[Discount]]</f>
        <v>4400</v>
      </c>
      <c r="P26" s="20">
        <f>Ecommerce_data[[#This Row],[Revenue]]-Ecommerce_data[[#This Row],[Discount_Amount]]</f>
        <v>50600</v>
      </c>
      <c r="Q26" s="20">
        <f>VLOOKUP(G26,Calculations!$A$2:$B$9,2,FALSE)</f>
        <v>40000</v>
      </c>
      <c r="R26" s="20">
        <f>Ecommerce_data[[#This Row],[Quantity]]*Ecommerce_data[[#This Row],[Unit_Cost]]</f>
        <v>40000</v>
      </c>
      <c r="S26" s="20">
        <f>Ecommerce_data[[#This Row],[Net_Sales]]-Ecommerce_data[[#This Row],[Total_Cost]]</f>
        <v>10600</v>
      </c>
      <c r="T26" s="13">
        <f>Ecommerce_data[[#This Row],[Profit]]/Ecommerce_data[[#This Row],[Net_Sales]]</f>
        <v>0.20948616600790515</v>
      </c>
      <c r="U26" s="11" t="str">
        <f>IF(COUNTIF($C$2:C26,C26)=1,"New Customer","Returning Customer")</f>
        <v>New Customer</v>
      </c>
      <c r="V26" s="11" t="str">
        <f t="shared" si="0"/>
        <v>Delayed</v>
      </c>
      <c r="W26" s="11" t="str">
        <f t="shared" si="1"/>
        <v>Not Returned</v>
      </c>
      <c r="X26" s="28" t="str">
        <f t="shared" si="2"/>
        <v>Feb</v>
      </c>
    </row>
    <row r="27" spans="1:24" ht="15.75">
      <c r="A27" s="1" t="s">
        <v>101</v>
      </c>
      <c r="B27" s="10">
        <v>46083</v>
      </c>
      <c r="C27" s="1" t="s">
        <v>25</v>
      </c>
      <c r="D27" s="1" t="s">
        <v>26</v>
      </c>
      <c r="E27" s="1" t="s">
        <v>27</v>
      </c>
      <c r="F27" s="1" t="s">
        <v>28</v>
      </c>
      <c r="G27" s="1" t="s">
        <v>54</v>
      </c>
      <c r="H27" s="1">
        <v>5</v>
      </c>
      <c r="I27" s="1">
        <v>1500</v>
      </c>
      <c r="J27" s="3">
        <v>0.05</v>
      </c>
      <c r="K27" s="1" t="s">
        <v>73</v>
      </c>
      <c r="L27" s="1" t="s">
        <v>31</v>
      </c>
      <c r="M27" s="4">
        <v>2</v>
      </c>
      <c r="N27" s="20">
        <f>Ecommerce_data[[#This Row],[Quantity]]*Ecommerce_data[[#This Row],[Unit_Price]]</f>
        <v>7500</v>
      </c>
      <c r="O27" s="20">
        <f>Ecommerce_data[[#This Row],[Revenue]]*Ecommerce_data[[#This Row],[Discount]]</f>
        <v>375</v>
      </c>
      <c r="P27" s="20">
        <f>Ecommerce_data[[#This Row],[Revenue]]-Ecommerce_data[[#This Row],[Discount_Amount]]</f>
        <v>7125</v>
      </c>
      <c r="Q27" s="20">
        <f>VLOOKUP(G27,Calculations!$A$2:$B$9,2,FALSE)</f>
        <v>900</v>
      </c>
      <c r="R27" s="20">
        <f>Ecommerce_data[[#This Row],[Quantity]]*Ecommerce_data[[#This Row],[Unit_Cost]]</f>
        <v>4500</v>
      </c>
      <c r="S27" s="20">
        <f>Ecommerce_data[[#This Row],[Net_Sales]]-Ecommerce_data[[#This Row],[Total_Cost]]</f>
        <v>2625</v>
      </c>
      <c r="T27" s="13">
        <f>Ecommerce_data[[#This Row],[Profit]]/Ecommerce_data[[#This Row],[Net_Sales]]</f>
        <v>0.36842105263157893</v>
      </c>
      <c r="U27" s="11" t="str">
        <f>IF(COUNTIF($C$2:C27,C27)=1,"New Customer","Returning Customer")</f>
        <v>Returning Customer</v>
      </c>
      <c r="V27" s="11" t="str">
        <f t="shared" si="0"/>
        <v>Fast</v>
      </c>
      <c r="W27" s="11" t="str">
        <f t="shared" si="1"/>
        <v>Not Returned</v>
      </c>
      <c r="X27" s="28" t="str">
        <f t="shared" si="2"/>
        <v>Mar</v>
      </c>
    </row>
    <row r="28" spans="1:24" ht="15.75">
      <c r="A28" s="5" t="s">
        <v>102</v>
      </c>
      <c r="B28" s="6">
        <v>46085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37</v>
      </c>
      <c r="H28" s="5">
        <v>4</v>
      </c>
      <c r="I28" s="5">
        <v>8500</v>
      </c>
      <c r="J28" s="7">
        <v>0.1</v>
      </c>
      <c r="K28" s="5" t="s">
        <v>38</v>
      </c>
      <c r="L28" s="5" t="s">
        <v>31</v>
      </c>
      <c r="M28" s="8">
        <v>5</v>
      </c>
      <c r="N28" s="20">
        <f>Ecommerce_data[[#This Row],[Quantity]]*Ecommerce_data[[#This Row],[Unit_Price]]</f>
        <v>34000</v>
      </c>
      <c r="O28" s="20">
        <f>Ecommerce_data[[#This Row],[Revenue]]*Ecommerce_data[[#This Row],[Discount]]</f>
        <v>3400</v>
      </c>
      <c r="P28" s="20">
        <f>Ecommerce_data[[#This Row],[Revenue]]-Ecommerce_data[[#This Row],[Discount_Amount]]</f>
        <v>30600</v>
      </c>
      <c r="Q28" s="20">
        <f>VLOOKUP(G28,Calculations!$A$2:$B$9,2,FALSE)</f>
        <v>5500</v>
      </c>
      <c r="R28" s="20">
        <f>Ecommerce_data[[#This Row],[Quantity]]*Ecommerce_data[[#This Row],[Unit_Cost]]</f>
        <v>22000</v>
      </c>
      <c r="S28" s="20">
        <f>Ecommerce_data[[#This Row],[Net_Sales]]-Ecommerce_data[[#This Row],[Total_Cost]]</f>
        <v>8600</v>
      </c>
      <c r="T28" s="13">
        <f>Ecommerce_data[[#This Row],[Profit]]/Ecommerce_data[[#This Row],[Net_Sales]]</f>
        <v>0.28104575163398693</v>
      </c>
      <c r="U28" s="11" t="str">
        <f>IF(COUNTIF($C$2:C28,C28)=1,"New Customer","Returning Customer")</f>
        <v>Returning Customer</v>
      </c>
      <c r="V28" s="11" t="str">
        <f t="shared" si="0"/>
        <v>Normal</v>
      </c>
      <c r="W28" s="11" t="str">
        <f t="shared" si="1"/>
        <v>Not Returned</v>
      </c>
      <c r="X28" s="28" t="str">
        <f t="shared" si="2"/>
        <v>Mar</v>
      </c>
    </row>
    <row r="29" spans="1:24" ht="15.75">
      <c r="A29" s="1" t="s">
        <v>103</v>
      </c>
      <c r="B29" s="10">
        <v>46087</v>
      </c>
      <c r="C29" s="1" t="s">
        <v>40</v>
      </c>
      <c r="D29" s="1" t="s">
        <v>41</v>
      </c>
      <c r="E29" s="1" t="s">
        <v>42</v>
      </c>
      <c r="F29" s="1" t="s">
        <v>28</v>
      </c>
      <c r="G29" s="1" t="s">
        <v>43</v>
      </c>
      <c r="H29" s="1">
        <v>3</v>
      </c>
      <c r="I29" s="1">
        <v>12000</v>
      </c>
      <c r="J29" s="3">
        <v>0.05</v>
      </c>
      <c r="K29" s="1" t="s">
        <v>73</v>
      </c>
      <c r="L29" s="1" t="s">
        <v>31</v>
      </c>
      <c r="M29" s="4">
        <v>3</v>
      </c>
      <c r="N29" s="20">
        <f>Ecommerce_data[[#This Row],[Quantity]]*Ecommerce_data[[#This Row],[Unit_Price]]</f>
        <v>36000</v>
      </c>
      <c r="O29" s="20">
        <f>Ecommerce_data[[#This Row],[Revenue]]*Ecommerce_data[[#This Row],[Discount]]</f>
        <v>1800</v>
      </c>
      <c r="P29" s="20">
        <f>Ecommerce_data[[#This Row],[Revenue]]-Ecommerce_data[[#This Row],[Discount_Amount]]</f>
        <v>34200</v>
      </c>
      <c r="Q29" s="20">
        <f>VLOOKUP(G29,Calculations!$A$2:$B$9,2,FALSE)</f>
        <v>8000</v>
      </c>
      <c r="R29" s="20">
        <f>Ecommerce_data[[#This Row],[Quantity]]*Ecommerce_data[[#This Row],[Unit_Cost]]</f>
        <v>24000</v>
      </c>
      <c r="S29" s="20">
        <f>Ecommerce_data[[#This Row],[Net_Sales]]-Ecommerce_data[[#This Row],[Total_Cost]]</f>
        <v>10200</v>
      </c>
      <c r="T29" s="13">
        <f>Ecommerce_data[[#This Row],[Profit]]/Ecommerce_data[[#This Row],[Net_Sales]]</f>
        <v>0.2982456140350877</v>
      </c>
      <c r="U29" s="11" t="str">
        <f>IF(COUNTIF($C$2:C29,C29)=1,"New Customer","Returning Customer")</f>
        <v>Returning Customer</v>
      </c>
      <c r="V29" s="11" t="str">
        <f t="shared" si="0"/>
        <v>Fast</v>
      </c>
      <c r="W29" s="11" t="str">
        <f t="shared" si="1"/>
        <v>Not Returned</v>
      </c>
      <c r="X29" s="28" t="str">
        <f t="shared" si="2"/>
        <v>Mar</v>
      </c>
    </row>
    <row r="30" spans="1:24" ht="15.75">
      <c r="A30" s="5" t="s">
        <v>104</v>
      </c>
      <c r="B30" s="6">
        <v>46089</v>
      </c>
      <c r="C30" s="5" t="s">
        <v>45</v>
      </c>
      <c r="D30" s="5" t="s">
        <v>46</v>
      </c>
      <c r="E30" s="5" t="s">
        <v>47</v>
      </c>
      <c r="F30" s="5" t="s">
        <v>48</v>
      </c>
      <c r="G30" s="5" t="s">
        <v>49</v>
      </c>
      <c r="H30" s="5">
        <v>50</v>
      </c>
      <c r="I30" s="5">
        <v>250</v>
      </c>
      <c r="J30" s="7">
        <v>0</v>
      </c>
      <c r="K30" s="5" t="s">
        <v>50</v>
      </c>
      <c r="L30" s="5" t="s">
        <v>31</v>
      </c>
      <c r="M30" s="8">
        <v>4</v>
      </c>
      <c r="N30" s="20">
        <f>Ecommerce_data[[#This Row],[Quantity]]*Ecommerce_data[[#This Row],[Unit_Price]]</f>
        <v>12500</v>
      </c>
      <c r="O30" s="20">
        <f>Ecommerce_data[[#This Row],[Revenue]]*Ecommerce_data[[#This Row],[Discount]]</f>
        <v>0</v>
      </c>
      <c r="P30" s="20">
        <f>Ecommerce_data[[#This Row],[Revenue]]-Ecommerce_data[[#This Row],[Discount_Amount]]</f>
        <v>12500</v>
      </c>
      <c r="Q30" s="20">
        <f>VLOOKUP(G30,Calculations!$A$2:$B$9,2,FALSE)</f>
        <v>120</v>
      </c>
      <c r="R30" s="20">
        <f>Ecommerce_data[[#This Row],[Quantity]]*Ecommerce_data[[#This Row],[Unit_Cost]]</f>
        <v>6000</v>
      </c>
      <c r="S30" s="20">
        <f>Ecommerce_data[[#This Row],[Net_Sales]]-Ecommerce_data[[#This Row],[Total_Cost]]</f>
        <v>6500</v>
      </c>
      <c r="T30" s="13">
        <f>Ecommerce_data[[#This Row],[Profit]]/Ecommerce_data[[#This Row],[Net_Sales]]</f>
        <v>0.52</v>
      </c>
      <c r="U30" s="11" t="str">
        <f>IF(COUNTIF($C$2:C30,C30)=1,"New Customer","Returning Customer")</f>
        <v>Returning Customer</v>
      </c>
      <c r="V30" s="11" t="str">
        <f t="shared" si="0"/>
        <v>Normal</v>
      </c>
      <c r="W30" s="11" t="str">
        <f t="shared" si="1"/>
        <v>Not Returned</v>
      </c>
      <c r="X30" s="28" t="str">
        <f t="shared" si="2"/>
        <v>Mar</v>
      </c>
    </row>
    <row r="31" spans="1:24" ht="15.75">
      <c r="A31" s="1" t="s">
        <v>105</v>
      </c>
      <c r="B31" s="10">
        <v>46091</v>
      </c>
      <c r="C31" s="1" t="s">
        <v>52</v>
      </c>
      <c r="D31" s="1" t="s">
        <v>53</v>
      </c>
      <c r="E31" s="1" t="s">
        <v>27</v>
      </c>
      <c r="F31" s="1" t="s">
        <v>28</v>
      </c>
      <c r="G31" s="1" t="s">
        <v>29</v>
      </c>
      <c r="H31" s="1">
        <v>2</v>
      </c>
      <c r="I31" s="1">
        <v>55000</v>
      </c>
      <c r="J31" s="3">
        <v>0.1</v>
      </c>
      <c r="K31" s="1" t="s">
        <v>38</v>
      </c>
      <c r="L31" s="1" t="s">
        <v>31</v>
      </c>
      <c r="M31" s="4">
        <v>8</v>
      </c>
      <c r="N31" s="20">
        <f>Ecommerce_data[[#This Row],[Quantity]]*Ecommerce_data[[#This Row],[Unit_Price]]</f>
        <v>110000</v>
      </c>
      <c r="O31" s="20">
        <f>Ecommerce_data[[#This Row],[Revenue]]*Ecommerce_data[[#This Row],[Discount]]</f>
        <v>11000</v>
      </c>
      <c r="P31" s="20">
        <f>Ecommerce_data[[#This Row],[Revenue]]-Ecommerce_data[[#This Row],[Discount_Amount]]</f>
        <v>99000</v>
      </c>
      <c r="Q31" s="20">
        <f>VLOOKUP(G31,Calculations!$A$2:$B$9,2,FALSE)</f>
        <v>40000</v>
      </c>
      <c r="R31" s="20">
        <f>Ecommerce_data[[#This Row],[Quantity]]*Ecommerce_data[[#This Row],[Unit_Cost]]</f>
        <v>80000</v>
      </c>
      <c r="S31" s="20">
        <f>Ecommerce_data[[#This Row],[Net_Sales]]-Ecommerce_data[[#This Row],[Total_Cost]]</f>
        <v>19000</v>
      </c>
      <c r="T31" s="13">
        <f>Ecommerce_data[[#This Row],[Profit]]/Ecommerce_data[[#This Row],[Net_Sales]]</f>
        <v>0.19191919191919191</v>
      </c>
      <c r="U31" s="11" t="str">
        <f>IF(COUNTIF($C$2:C31,C31)=1,"New Customer","Returning Customer")</f>
        <v>Returning Customer</v>
      </c>
      <c r="V31" s="11" t="str">
        <f t="shared" si="0"/>
        <v>Delayed</v>
      </c>
      <c r="W31" s="11" t="str">
        <f t="shared" si="1"/>
        <v>Not Returned</v>
      </c>
      <c r="X31" s="28" t="str">
        <f t="shared" si="2"/>
        <v>Mar</v>
      </c>
    </row>
    <row r="32" spans="1:24" ht="15.75">
      <c r="A32" s="5" t="s">
        <v>106</v>
      </c>
      <c r="B32" s="6">
        <v>46093</v>
      </c>
      <c r="C32" s="5" t="s">
        <v>56</v>
      </c>
      <c r="D32" s="5" t="s">
        <v>57</v>
      </c>
      <c r="E32" s="5" t="s">
        <v>35</v>
      </c>
      <c r="F32" s="5" t="s">
        <v>36</v>
      </c>
      <c r="G32" s="5" t="s">
        <v>58</v>
      </c>
      <c r="H32" s="5">
        <v>1</v>
      </c>
      <c r="I32" s="5">
        <v>25000</v>
      </c>
      <c r="J32" s="7">
        <v>0.05</v>
      </c>
      <c r="K32" s="5" t="s">
        <v>30</v>
      </c>
      <c r="L32" s="5" t="s">
        <v>31</v>
      </c>
      <c r="M32" s="8">
        <v>6</v>
      </c>
      <c r="N32" s="20">
        <f>Ecommerce_data[[#This Row],[Quantity]]*Ecommerce_data[[#This Row],[Unit_Price]]</f>
        <v>25000</v>
      </c>
      <c r="O32" s="20">
        <f>Ecommerce_data[[#This Row],[Revenue]]*Ecommerce_data[[#This Row],[Discount]]</f>
        <v>1250</v>
      </c>
      <c r="P32" s="20">
        <f>Ecommerce_data[[#This Row],[Revenue]]-Ecommerce_data[[#This Row],[Discount_Amount]]</f>
        <v>23750</v>
      </c>
      <c r="Q32" s="20">
        <f>VLOOKUP(G32,Calculations!$A$2:$B$9,2,FALSE)</f>
        <v>17000</v>
      </c>
      <c r="R32" s="20">
        <f>Ecommerce_data[[#This Row],[Quantity]]*Ecommerce_data[[#This Row],[Unit_Cost]]</f>
        <v>17000</v>
      </c>
      <c r="S32" s="20">
        <f>Ecommerce_data[[#This Row],[Net_Sales]]-Ecommerce_data[[#This Row],[Total_Cost]]</f>
        <v>6750</v>
      </c>
      <c r="T32" s="13">
        <f>Ecommerce_data[[#This Row],[Profit]]/Ecommerce_data[[#This Row],[Net_Sales]]</f>
        <v>0.28421052631578947</v>
      </c>
      <c r="U32" s="11" t="str">
        <f>IF(COUNTIF($C$2:C32,C32)=1,"New Customer","Returning Customer")</f>
        <v>Returning Customer</v>
      </c>
      <c r="V32" s="11" t="str">
        <f t="shared" si="0"/>
        <v>Delayed</v>
      </c>
      <c r="W32" s="11" t="str">
        <f t="shared" si="1"/>
        <v>Not Returned</v>
      </c>
      <c r="X32" s="28" t="str">
        <f t="shared" si="2"/>
        <v>Mar</v>
      </c>
    </row>
    <row r="33" spans="1:24" ht="15.75">
      <c r="A33" s="1" t="s">
        <v>107</v>
      </c>
      <c r="B33" s="10">
        <v>46095</v>
      </c>
      <c r="C33" s="1" t="s">
        <v>60</v>
      </c>
      <c r="D33" s="1" t="s">
        <v>61</v>
      </c>
      <c r="E33" s="1" t="s">
        <v>42</v>
      </c>
      <c r="F33" s="1" t="s">
        <v>28</v>
      </c>
      <c r="G33" s="1" t="s">
        <v>62</v>
      </c>
      <c r="H33" s="1">
        <v>10</v>
      </c>
      <c r="I33" s="1">
        <v>800</v>
      </c>
      <c r="J33" s="3">
        <v>0.05</v>
      </c>
      <c r="K33" s="1" t="s">
        <v>30</v>
      </c>
      <c r="L33" s="1" t="s">
        <v>31</v>
      </c>
      <c r="M33" s="4">
        <v>2</v>
      </c>
      <c r="N33" s="20">
        <f>Ecommerce_data[[#This Row],[Quantity]]*Ecommerce_data[[#This Row],[Unit_Price]]</f>
        <v>8000</v>
      </c>
      <c r="O33" s="20">
        <f>Ecommerce_data[[#This Row],[Revenue]]*Ecommerce_data[[#This Row],[Discount]]</f>
        <v>400</v>
      </c>
      <c r="P33" s="20">
        <f>Ecommerce_data[[#This Row],[Revenue]]-Ecommerce_data[[#This Row],[Discount_Amount]]</f>
        <v>7600</v>
      </c>
      <c r="Q33" s="20">
        <f>VLOOKUP(G33,Calculations!$A$2:$B$9,2,FALSE)</f>
        <v>450</v>
      </c>
      <c r="R33" s="20">
        <f>Ecommerce_data[[#This Row],[Quantity]]*Ecommerce_data[[#This Row],[Unit_Cost]]</f>
        <v>4500</v>
      </c>
      <c r="S33" s="20">
        <f>Ecommerce_data[[#This Row],[Net_Sales]]-Ecommerce_data[[#This Row],[Total_Cost]]</f>
        <v>3100</v>
      </c>
      <c r="T33" s="13">
        <f>Ecommerce_data[[#This Row],[Profit]]/Ecommerce_data[[#This Row],[Net_Sales]]</f>
        <v>0.40789473684210525</v>
      </c>
      <c r="U33" s="11" t="str">
        <f>IF(COUNTIF($C$2:C33,C33)=1,"New Customer","Returning Customer")</f>
        <v>Returning Customer</v>
      </c>
      <c r="V33" s="11" t="str">
        <f t="shared" si="0"/>
        <v>Fast</v>
      </c>
      <c r="W33" s="11" t="str">
        <f t="shared" si="1"/>
        <v>Not Returned</v>
      </c>
      <c r="X33" s="28" t="str">
        <f t="shared" si="2"/>
        <v>Mar</v>
      </c>
    </row>
    <row r="34" spans="1:24" ht="15.75">
      <c r="A34" s="5" t="s">
        <v>108</v>
      </c>
      <c r="B34" s="6">
        <v>46097</v>
      </c>
      <c r="C34" s="5" t="s">
        <v>64</v>
      </c>
      <c r="D34" s="5" t="s">
        <v>65</v>
      </c>
      <c r="E34" s="5" t="s">
        <v>47</v>
      </c>
      <c r="F34" s="5" t="s">
        <v>48</v>
      </c>
      <c r="G34" s="5" t="s">
        <v>66</v>
      </c>
      <c r="H34" s="5">
        <v>40</v>
      </c>
      <c r="I34" s="5">
        <v>450</v>
      </c>
      <c r="J34" s="7">
        <v>0.1</v>
      </c>
      <c r="K34" s="5" t="s">
        <v>38</v>
      </c>
      <c r="L34" s="5" t="s">
        <v>31</v>
      </c>
      <c r="M34" s="8">
        <v>5</v>
      </c>
      <c r="N34" s="20">
        <f>Ecommerce_data[[#This Row],[Quantity]]*Ecommerce_data[[#This Row],[Unit_Price]]</f>
        <v>18000</v>
      </c>
      <c r="O34" s="20">
        <f>Ecommerce_data[[#This Row],[Revenue]]*Ecommerce_data[[#This Row],[Discount]]</f>
        <v>1800</v>
      </c>
      <c r="P34" s="20">
        <f>Ecommerce_data[[#This Row],[Revenue]]-Ecommerce_data[[#This Row],[Discount_Amount]]</f>
        <v>16200</v>
      </c>
      <c r="Q34" s="20">
        <f>VLOOKUP(G34,Calculations!$A$2:$B$9,2,FALSE)</f>
        <v>250</v>
      </c>
      <c r="R34" s="20">
        <f>Ecommerce_data[[#This Row],[Quantity]]*Ecommerce_data[[#This Row],[Unit_Cost]]</f>
        <v>10000</v>
      </c>
      <c r="S34" s="20">
        <f>Ecommerce_data[[#This Row],[Net_Sales]]-Ecommerce_data[[#This Row],[Total_Cost]]</f>
        <v>6200</v>
      </c>
      <c r="T34" s="13">
        <f>Ecommerce_data[[#This Row],[Profit]]/Ecommerce_data[[#This Row],[Net_Sales]]</f>
        <v>0.38271604938271603</v>
      </c>
      <c r="U34" s="11" t="str">
        <f>IF(COUNTIF($C$2:C34,C34)=1,"New Customer","Returning Customer")</f>
        <v>Returning Customer</v>
      </c>
      <c r="V34" s="11" t="str">
        <f t="shared" ref="V34:V61" si="3">IF(M34&lt;=3,"Fast",IF(M34&lt;=5,"Normal","Delayed"))</f>
        <v>Normal</v>
      </c>
      <c r="W34" s="11" t="str">
        <f t="shared" ref="W34:W61" si="4">IF(L34="Returned","Returned",IF(L34="Delivered","Not Returned","Not Returned"))</f>
        <v>Not Returned</v>
      </c>
      <c r="X34" s="28" t="str">
        <f t="shared" ref="X34:X61" si="5">TEXT(B34,"mmm")</f>
        <v>Mar</v>
      </c>
    </row>
    <row r="35" spans="1:24" ht="15.75">
      <c r="A35" s="1" t="s">
        <v>109</v>
      </c>
      <c r="B35" s="10">
        <v>46099</v>
      </c>
      <c r="C35" s="1" t="s">
        <v>68</v>
      </c>
      <c r="D35" s="1" t="s">
        <v>69</v>
      </c>
      <c r="E35" s="1" t="s">
        <v>27</v>
      </c>
      <c r="F35" s="1" t="s">
        <v>28</v>
      </c>
      <c r="G35" s="1" t="s">
        <v>43</v>
      </c>
      <c r="H35" s="1">
        <v>3</v>
      </c>
      <c r="I35" s="1">
        <v>12000</v>
      </c>
      <c r="J35" s="3">
        <v>0.05</v>
      </c>
      <c r="K35" s="1" t="s">
        <v>30</v>
      </c>
      <c r="L35" s="1" t="s">
        <v>31</v>
      </c>
      <c r="M35" s="4">
        <v>3</v>
      </c>
      <c r="N35" s="20">
        <f>Ecommerce_data[[#This Row],[Quantity]]*Ecommerce_data[[#This Row],[Unit_Price]]</f>
        <v>36000</v>
      </c>
      <c r="O35" s="20">
        <f>Ecommerce_data[[#This Row],[Revenue]]*Ecommerce_data[[#This Row],[Discount]]</f>
        <v>1800</v>
      </c>
      <c r="P35" s="20">
        <f>Ecommerce_data[[#This Row],[Revenue]]-Ecommerce_data[[#This Row],[Discount_Amount]]</f>
        <v>34200</v>
      </c>
      <c r="Q35" s="20">
        <f>VLOOKUP(G35,Calculations!$A$2:$B$9,2,FALSE)</f>
        <v>8000</v>
      </c>
      <c r="R35" s="20">
        <f>Ecommerce_data[[#This Row],[Quantity]]*Ecommerce_data[[#This Row],[Unit_Cost]]</f>
        <v>24000</v>
      </c>
      <c r="S35" s="20">
        <f>Ecommerce_data[[#This Row],[Net_Sales]]-Ecommerce_data[[#This Row],[Total_Cost]]</f>
        <v>10200</v>
      </c>
      <c r="T35" s="13">
        <f>Ecommerce_data[[#This Row],[Profit]]/Ecommerce_data[[#This Row],[Net_Sales]]</f>
        <v>0.2982456140350877</v>
      </c>
      <c r="U35" s="11" t="str">
        <f>IF(COUNTIF($C$2:C35,C35)=1,"New Customer","Returning Customer")</f>
        <v>Returning Customer</v>
      </c>
      <c r="V35" s="11" t="str">
        <f t="shared" si="3"/>
        <v>Fast</v>
      </c>
      <c r="W35" s="11" t="str">
        <f t="shared" si="4"/>
        <v>Not Returned</v>
      </c>
      <c r="X35" s="28" t="str">
        <f t="shared" si="5"/>
        <v>Mar</v>
      </c>
    </row>
    <row r="36" spans="1:24" ht="15.75">
      <c r="A36" s="5" t="s">
        <v>110</v>
      </c>
      <c r="B36" s="6">
        <v>46101</v>
      </c>
      <c r="C36" s="5" t="s">
        <v>71</v>
      </c>
      <c r="D36" s="5" t="s">
        <v>72</v>
      </c>
      <c r="E36" s="5" t="s">
        <v>35</v>
      </c>
      <c r="F36" s="5" t="s">
        <v>36</v>
      </c>
      <c r="G36" s="5" t="s">
        <v>37</v>
      </c>
      <c r="H36" s="5">
        <v>3</v>
      </c>
      <c r="I36" s="5">
        <v>8500</v>
      </c>
      <c r="J36" s="7">
        <v>0.08</v>
      </c>
      <c r="K36" s="5" t="s">
        <v>38</v>
      </c>
      <c r="L36" s="5" t="s">
        <v>31</v>
      </c>
      <c r="M36" s="8">
        <v>6</v>
      </c>
      <c r="N36" s="20">
        <f>Ecommerce_data[[#This Row],[Quantity]]*Ecommerce_data[[#This Row],[Unit_Price]]</f>
        <v>25500</v>
      </c>
      <c r="O36" s="20">
        <f>Ecommerce_data[[#This Row],[Revenue]]*Ecommerce_data[[#This Row],[Discount]]</f>
        <v>2040</v>
      </c>
      <c r="P36" s="20">
        <f>Ecommerce_data[[#This Row],[Revenue]]-Ecommerce_data[[#This Row],[Discount_Amount]]</f>
        <v>23460</v>
      </c>
      <c r="Q36" s="20">
        <f>VLOOKUP(G36,Calculations!$A$2:$B$9,2,FALSE)</f>
        <v>5500</v>
      </c>
      <c r="R36" s="20">
        <f>Ecommerce_data[[#This Row],[Quantity]]*Ecommerce_data[[#This Row],[Unit_Cost]]</f>
        <v>16500</v>
      </c>
      <c r="S36" s="20">
        <f>Ecommerce_data[[#This Row],[Net_Sales]]-Ecommerce_data[[#This Row],[Total_Cost]]</f>
        <v>6960</v>
      </c>
      <c r="T36" s="13">
        <f>Ecommerce_data[[#This Row],[Profit]]/Ecommerce_data[[#This Row],[Net_Sales]]</f>
        <v>0.29667519181585678</v>
      </c>
      <c r="U36" s="11" t="str">
        <f>IF(COUNTIF($C$2:C36,C36)=1,"New Customer","Returning Customer")</f>
        <v>Returning Customer</v>
      </c>
      <c r="V36" s="11" t="str">
        <f t="shared" si="3"/>
        <v>Delayed</v>
      </c>
      <c r="W36" s="11" t="str">
        <f t="shared" si="4"/>
        <v>Not Returned</v>
      </c>
      <c r="X36" s="28" t="str">
        <f t="shared" si="5"/>
        <v>Mar</v>
      </c>
    </row>
    <row r="37" spans="1:24" ht="15.75">
      <c r="A37" s="1" t="s">
        <v>111</v>
      </c>
      <c r="B37" s="10">
        <v>46103</v>
      </c>
      <c r="C37" s="1" t="s">
        <v>87</v>
      </c>
      <c r="D37" s="1" t="s">
        <v>88</v>
      </c>
      <c r="E37" s="1" t="s">
        <v>42</v>
      </c>
      <c r="F37" s="1" t="s">
        <v>28</v>
      </c>
      <c r="G37" s="1" t="s">
        <v>29</v>
      </c>
      <c r="H37" s="1">
        <v>1</v>
      </c>
      <c r="I37" s="1">
        <v>55000</v>
      </c>
      <c r="J37" s="3">
        <v>0.05</v>
      </c>
      <c r="K37" s="1" t="s">
        <v>73</v>
      </c>
      <c r="L37" s="1" t="s">
        <v>31</v>
      </c>
      <c r="M37" s="4">
        <v>4</v>
      </c>
      <c r="N37" s="20">
        <f>Ecommerce_data[[#This Row],[Quantity]]*Ecommerce_data[[#This Row],[Unit_Price]]</f>
        <v>55000</v>
      </c>
      <c r="O37" s="20">
        <f>Ecommerce_data[[#This Row],[Revenue]]*Ecommerce_data[[#This Row],[Discount]]</f>
        <v>2750</v>
      </c>
      <c r="P37" s="20">
        <f>Ecommerce_data[[#This Row],[Revenue]]-Ecommerce_data[[#This Row],[Discount_Amount]]</f>
        <v>52250</v>
      </c>
      <c r="Q37" s="20">
        <f>VLOOKUP(G37,Calculations!$A$2:$B$9,2,FALSE)</f>
        <v>40000</v>
      </c>
      <c r="R37" s="20">
        <f>Ecommerce_data[[#This Row],[Quantity]]*Ecommerce_data[[#This Row],[Unit_Cost]]</f>
        <v>40000</v>
      </c>
      <c r="S37" s="20">
        <f>Ecommerce_data[[#This Row],[Net_Sales]]-Ecommerce_data[[#This Row],[Total_Cost]]</f>
        <v>12250</v>
      </c>
      <c r="T37" s="13">
        <f>Ecommerce_data[[#This Row],[Profit]]/Ecommerce_data[[#This Row],[Net_Sales]]</f>
        <v>0.23444976076555024</v>
      </c>
      <c r="U37" s="11" t="str">
        <f>IF(COUNTIF($C$2:C37,C37)=1,"New Customer","Returning Customer")</f>
        <v>Returning Customer</v>
      </c>
      <c r="V37" s="11" t="str">
        <f t="shared" si="3"/>
        <v>Normal</v>
      </c>
      <c r="W37" s="11" t="str">
        <f t="shared" si="4"/>
        <v>Not Returned</v>
      </c>
      <c r="X37" s="28" t="str">
        <f t="shared" si="5"/>
        <v>Mar</v>
      </c>
    </row>
    <row r="38" spans="1:24" ht="15.75">
      <c r="A38" s="5" t="s">
        <v>112</v>
      </c>
      <c r="B38" s="6">
        <v>46105</v>
      </c>
      <c r="C38" s="5" t="s">
        <v>90</v>
      </c>
      <c r="D38" s="5" t="s">
        <v>91</v>
      </c>
      <c r="E38" s="5" t="s">
        <v>47</v>
      </c>
      <c r="F38" s="5" t="s">
        <v>48</v>
      </c>
      <c r="G38" s="5" t="s">
        <v>49</v>
      </c>
      <c r="H38" s="5">
        <v>60</v>
      </c>
      <c r="I38" s="5">
        <v>250</v>
      </c>
      <c r="J38" s="7">
        <v>0.05</v>
      </c>
      <c r="K38" s="5" t="s">
        <v>50</v>
      </c>
      <c r="L38" s="5" t="s">
        <v>31</v>
      </c>
      <c r="M38" s="8">
        <v>4</v>
      </c>
      <c r="N38" s="20">
        <f>Ecommerce_data[[#This Row],[Quantity]]*Ecommerce_data[[#This Row],[Unit_Price]]</f>
        <v>15000</v>
      </c>
      <c r="O38" s="20">
        <f>Ecommerce_data[[#This Row],[Revenue]]*Ecommerce_data[[#This Row],[Discount]]</f>
        <v>750</v>
      </c>
      <c r="P38" s="20">
        <f>Ecommerce_data[[#This Row],[Revenue]]-Ecommerce_data[[#This Row],[Discount_Amount]]</f>
        <v>14250</v>
      </c>
      <c r="Q38" s="20">
        <f>VLOOKUP(G38,Calculations!$A$2:$B$9,2,FALSE)</f>
        <v>120</v>
      </c>
      <c r="R38" s="20">
        <f>Ecommerce_data[[#This Row],[Quantity]]*Ecommerce_data[[#This Row],[Unit_Cost]]</f>
        <v>7200</v>
      </c>
      <c r="S38" s="20">
        <f>Ecommerce_data[[#This Row],[Net_Sales]]-Ecommerce_data[[#This Row],[Total_Cost]]</f>
        <v>7050</v>
      </c>
      <c r="T38" s="13">
        <f>Ecommerce_data[[#This Row],[Profit]]/Ecommerce_data[[#This Row],[Net_Sales]]</f>
        <v>0.49473684210526314</v>
      </c>
      <c r="U38" s="11" t="str">
        <f>IF(COUNTIF($C$2:C38,C38)=1,"New Customer","Returning Customer")</f>
        <v>Returning Customer</v>
      </c>
      <c r="V38" s="11" t="str">
        <f t="shared" si="3"/>
        <v>Normal</v>
      </c>
      <c r="W38" s="11" t="str">
        <f t="shared" si="4"/>
        <v>Not Returned</v>
      </c>
      <c r="X38" s="28" t="str">
        <f t="shared" si="5"/>
        <v>Mar</v>
      </c>
    </row>
    <row r="39" spans="1:24" ht="15.75">
      <c r="A39" s="1" t="s">
        <v>113</v>
      </c>
      <c r="B39" s="10">
        <v>46107</v>
      </c>
      <c r="C39" s="1" t="s">
        <v>93</v>
      </c>
      <c r="D39" s="1" t="s">
        <v>94</v>
      </c>
      <c r="E39" s="1" t="s">
        <v>27</v>
      </c>
      <c r="F39" s="1" t="s">
        <v>28</v>
      </c>
      <c r="G39" s="1" t="s">
        <v>54</v>
      </c>
      <c r="H39" s="1">
        <v>8</v>
      </c>
      <c r="I39" s="1">
        <v>1500</v>
      </c>
      <c r="J39" s="3">
        <v>0</v>
      </c>
      <c r="K39" s="1" t="s">
        <v>30</v>
      </c>
      <c r="L39" s="1" t="s">
        <v>31</v>
      </c>
      <c r="M39" s="4">
        <v>2</v>
      </c>
      <c r="N39" s="20">
        <f>Ecommerce_data[[#This Row],[Quantity]]*Ecommerce_data[[#This Row],[Unit_Price]]</f>
        <v>12000</v>
      </c>
      <c r="O39" s="20">
        <f>Ecommerce_data[[#This Row],[Revenue]]*Ecommerce_data[[#This Row],[Discount]]</f>
        <v>0</v>
      </c>
      <c r="P39" s="20">
        <f>Ecommerce_data[[#This Row],[Revenue]]-Ecommerce_data[[#This Row],[Discount_Amount]]</f>
        <v>12000</v>
      </c>
      <c r="Q39" s="20">
        <f>VLOOKUP(G39,Calculations!$A$2:$B$9,2,FALSE)</f>
        <v>900</v>
      </c>
      <c r="R39" s="20">
        <f>Ecommerce_data[[#This Row],[Quantity]]*Ecommerce_data[[#This Row],[Unit_Cost]]</f>
        <v>7200</v>
      </c>
      <c r="S39" s="20">
        <f>Ecommerce_data[[#This Row],[Net_Sales]]-Ecommerce_data[[#This Row],[Total_Cost]]</f>
        <v>4800</v>
      </c>
      <c r="T39" s="13">
        <f>Ecommerce_data[[#This Row],[Profit]]/Ecommerce_data[[#This Row],[Net_Sales]]</f>
        <v>0.4</v>
      </c>
      <c r="U39" s="11" t="str">
        <f>IF(COUNTIF($C$2:C39,C39)=1,"New Customer","Returning Customer")</f>
        <v>Returning Customer</v>
      </c>
      <c r="V39" s="11" t="str">
        <f t="shared" si="3"/>
        <v>Fast</v>
      </c>
      <c r="W39" s="11" t="str">
        <f t="shared" si="4"/>
        <v>Not Returned</v>
      </c>
      <c r="X39" s="28" t="str">
        <f t="shared" si="5"/>
        <v>Mar</v>
      </c>
    </row>
    <row r="40" spans="1:24" ht="15.75">
      <c r="A40" s="5" t="s">
        <v>114</v>
      </c>
      <c r="B40" s="6">
        <v>46109</v>
      </c>
      <c r="C40" s="5" t="s">
        <v>96</v>
      </c>
      <c r="D40" s="5" t="s">
        <v>97</v>
      </c>
      <c r="E40" s="5" t="s">
        <v>35</v>
      </c>
      <c r="F40" s="5" t="s">
        <v>36</v>
      </c>
      <c r="G40" s="5" t="s">
        <v>58</v>
      </c>
      <c r="H40" s="5">
        <v>2</v>
      </c>
      <c r="I40" s="5">
        <v>25000</v>
      </c>
      <c r="J40" s="7">
        <v>0.1</v>
      </c>
      <c r="K40" s="5" t="s">
        <v>38</v>
      </c>
      <c r="L40" s="5" t="s">
        <v>31</v>
      </c>
      <c r="M40" s="8">
        <v>7</v>
      </c>
      <c r="N40" s="20">
        <f>Ecommerce_data[[#This Row],[Quantity]]*Ecommerce_data[[#This Row],[Unit_Price]]</f>
        <v>50000</v>
      </c>
      <c r="O40" s="20">
        <f>Ecommerce_data[[#This Row],[Revenue]]*Ecommerce_data[[#This Row],[Discount]]</f>
        <v>5000</v>
      </c>
      <c r="P40" s="20">
        <f>Ecommerce_data[[#This Row],[Revenue]]-Ecommerce_data[[#This Row],[Discount_Amount]]</f>
        <v>45000</v>
      </c>
      <c r="Q40" s="20">
        <f>VLOOKUP(G40,Calculations!$A$2:$B$9,2,FALSE)</f>
        <v>17000</v>
      </c>
      <c r="R40" s="20">
        <f>Ecommerce_data[[#This Row],[Quantity]]*Ecommerce_data[[#This Row],[Unit_Cost]]</f>
        <v>34000</v>
      </c>
      <c r="S40" s="20">
        <f>Ecommerce_data[[#This Row],[Net_Sales]]-Ecommerce_data[[#This Row],[Total_Cost]]</f>
        <v>11000</v>
      </c>
      <c r="T40" s="13">
        <f>Ecommerce_data[[#This Row],[Profit]]/Ecommerce_data[[#This Row],[Net_Sales]]</f>
        <v>0.24444444444444444</v>
      </c>
      <c r="U40" s="11" t="str">
        <f>IF(COUNTIF($C$2:C40,C40)=1,"New Customer","Returning Customer")</f>
        <v>Returning Customer</v>
      </c>
      <c r="V40" s="11" t="str">
        <f t="shared" si="3"/>
        <v>Delayed</v>
      </c>
      <c r="W40" s="11" t="str">
        <f t="shared" si="4"/>
        <v>Not Returned</v>
      </c>
      <c r="X40" s="28" t="str">
        <f t="shared" si="5"/>
        <v>Mar</v>
      </c>
    </row>
    <row r="41" spans="1:24" ht="15.75">
      <c r="A41" s="1" t="s">
        <v>115</v>
      </c>
      <c r="B41" s="10">
        <v>46111</v>
      </c>
      <c r="C41" s="1" t="s">
        <v>99</v>
      </c>
      <c r="D41" s="1" t="s">
        <v>100</v>
      </c>
      <c r="E41" s="1" t="s">
        <v>42</v>
      </c>
      <c r="F41" s="1" t="s">
        <v>28</v>
      </c>
      <c r="G41" s="1" t="s">
        <v>43</v>
      </c>
      <c r="H41" s="1">
        <v>5</v>
      </c>
      <c r="I41" s="1">
        <v>12000</v>
      </c>
      <c r="J41" s="3">
        <v>0.08</v>
      </c>
      <c r="K41" s="1" t="s">
        <v>30</v>
      </c>
      <c r="L41" s="1" t="s">
        <v>31</v>
      </c>
      <c r="M41" s="4">
        <v>3</v>
      </c>
      <c r="N41" s="20">
        <f>Ecommerce_data[[#This Row],[Quantity]]*Ecommerce_data[[#This Row],[Unit_Price]]</f>
        <v>60000</v>
      </c>
      <c r="O41" s="20">
        <f>Ecommerce_data[[#This Row],[Revenue]]*Ecommerce_data[[#This Row],[Discount]]</f>
        <v>4800</v>
      </c>
      <c r="P41" s="20">
        <f>Ecommerce_data[[#This Row],[Revenue]]-Ecommerce_data[[#This Row],[Discount_Amount]]</f>
        <v>55200</v>
      </c>
      <c r="Q41" s="20">
        <f>VLOOKUP(G41,Calculations!$A$2:$B$9,2,FALSE)</f>
        <v>8000</v>
      </c>
      <c r="R41" s="20">
        <f>Ecommerce_data[[#This Row],[Quantity]]*Ecommerce_data[[#This Row],[Unit_Cost]]</f>
        <v>40000</v>
      </c>
      <c r="S41" s="20">
        <f>Ecommerce_data[[#This Row],[Net_Sales]]-Ecommerce_data[[#This Row],[Total_Cost]]</f>
        <v>15200</v>
      </c>
      <c r="T41" s="13">
        <f>Ecommerce_data[[#This Row],[Profit]]/Ecommerce_data[[#This Row],[Net_Sales]]</f>
        <v>0.27536231884057971</v>
      </c>
      <c r="U41" s="11" t="str">
        <f>IF(COUNTIF($C$2:C41,C41)=1,"New Customer","Returning Customer")</f>
        <v>Returning Customer</v>
      </c>
      <c r="V41" s="11" t="str">
        <f t="shared" si="3"/>
        <v>Fast</v>
      </c>
      <c r="W41" s="11" t="str">
        <f t="shared" si="4"/>
        <v>Not Returned</v>
      </c>
      <c r="X41" s="28" t="str">
        <f t="shared" si="5"/>
        <v>Mar</v>
      </c>
    </row>
    <row r="42" spans="1:24" ht="15.75">
      <c r="A42" s="5" t="s">
        <v>116</v>
      </c>
      <c r="B42" s="6">
        <v>46114</v>
      </c>
      <c r="C42" s="5" t="s">
        <v>117</v>
      </c>
      <c r="D42" s="5" t="s">
        <v>118</v>
      </c>
      <c r="E42" s="5" t="s">
        <v>27</v>
      </c>
      <c r="F42" s="5" t="s">
        <v>28</v>
      </c>
      <c r="G42" s="5" t="s">
        <v>29</v>
      </c>
      <c r="H42" s="5">
        <v>1</v>
      </c>
      <c r="I42" s="5">
        <v>55000</v>
      </c>
      <c r="J42" s="7">
        <v>0.05</v>
      </c>
      <c r="K42" s="5" t="s">
        <v>38</v>
      </c>
      <c r="L42" s="5" t="s">
        <v>31</v>
      </c>
      <c r="M42" s="8">
        <v>5</v>
      </c>
      <c r="N42" s="20">
        <f>Ecommerce_data[[#This Row],[Quantity]]*Ecommerce_data[[#This Row],[Unit_Price]]</f>
        <v>55000</v>
      </c>
      <c r="O42" s="20">
        <f>Ecommerce_data[[#This Row],[Revenue]]*Ecommerce_data[[#This Row],[Discount]]</f>
        <v>2750</v>
      </c>
      <c r="P42" s="20">
        <f>Ecommerce_data[[#This Row],[Revenue]]-Ecommerce_data[[#This Row],[Discount_Amount]]</f>
        <v>52250</v>
      </c>
      <c r="Q42" s="20">
        <f>VLOOKUP(G42,Calculations!$A$2:$B$9,2,FALSE)</f>
        <v>40000</v>
      </c>
      <c r="R42" s="20">
        <f>Ecommerce_data[[#This Row],[Quantity]]*Ecommerce_data[[#This Row],[Unit_Cost]]</f>
        <v>40000</v>
      </c>
      <c r="S42" s="20">
        <f>Ecommerce_data[[#This Row],[Net_Sales]]-Ecommerce_data[[#This Row],[Total_Cost]]</f>
        <v>12250</v>
      </c>
      <c r="T42" s="13">
        <f>Ecommerce_data[[#This Row],[Profit]]/Ecommerce_data[[#This Row],[Net_Sales]]</f>
        <v>0.23444976076555024</v>
      </c>
      <c r="U42" s="11" t="str">
        <f>IF(COUNTIF($C$2:C42,C42)=1,"New Customer","Returning Customer")</f>
        <v>New Customer</v>
      </c>
      <c r="V42" s="11" t="str">
        <f t="shared" si="3"/>
        <v>Normal</v>
      </c>
      <c r="W42" s="11" t="str">
        <f t="shared" si="4"/>
        <v>Not Returned</v>
      </c>
      <c r="X42" s="28" t="str">
        <f t="shared" si="5"/>
        <v>Apr</v>
      </c>
    </row>
    <row r="43" spans="1:24" ht="15.75">
      <c r="A43" s="1" t="s">
        <v>119</v>
      </c>
      <c r="B43" s="10">
        <v>46116</v>
      </c>
      <c r="C43" s="1" t="s">
        <v>120</v>
      </c>
      <c r="D43" s="1" t="s">
        <v>121</v>
      </c>
      <c r="E43" s="1" t="s">
        <v>35</v>
      </c>
      <c r="F43" s="1" t="s">
        <v>48</v>
      </c>
      <c r="G43" s="1" t="s">
        <v>66</v>
      </c>
      <c r="H43" s="1">
        <v>50</v>
      </c>
      <c r="I43" s="1">
        <v>450</v>
      </c>
      <c r="J43" s="3">
        <v>0.05</v>
      </c>
      <c r="K43" s="1" t="s">
        <v>50</v>
      </c>
      <c r="L43" s="1" t="s">
        <v>31</v>
      </c>
      <c r="M43" s="4">
        <v>4</v>
      </c>
      <c r="N43" s="20">
        <f>Ecommerce_data[[#This Row],[Quantity]]*Ecommerce_data[[#This Row],[Unit_Price]]</f>
        <v>22500</v>
      </c>
      <c r="O43" s="20">
        <f>Ecommerce_data[[#This Row],[Revenue]]*Ecommerce_data[[#This Row],[Discount]]</f>
        <v>1125</v>
      </c>
      <c r="P43" s="20">
        <f>Ecommerce_data[[#This Row],[Revenue]]-Ecommerce_data[[#This Row],[Discount_Amount]]</f>
        <v>21375</v>
      </c>
      <c r="Q43" s="20">
        <f>VLOOKUP(G43,Calculations!$A$2:$B$9,2,FALSE)</f>
        <v>250</v>
      </c>
      <c r="R43" s="20">
        <f>Ecommerce_data[[#This Row],[Quantity]]*Ecommerce_data[[#This Row],[Unit_Cost]]</f>
        <v>12500</v>
      </c>
      <c r="S43" s="20">
        <f>Ecommerce_data[[#This Row],[Net_Sales]]-Ecommerce_data[[#This Row],[Total_Cost]]</f>
        <v>8875</v>
      </c>
      <c r="T43" s="13">
        <f>Ecommerce_data[[#This Row],[Profit]]/Ecommerce_data[[#This Row],[Net_Sales]]</f>
        <v>0.41520467836257308</v>
      </c>
      <c r="U43" s="11" t="str">
        <f>IF(COUNTIF($C$2:C43,C43)=1,"New Customer","Returning Customer")</f>
        <v>New Customer</v>
      </c>
      <c r="V43" s="11" t="str">
        <f t="shared" si="3"/>
        <v>Normal</v>
      </c>
      <c r="W43" s="11" t="str">
        <f t="shared" si="4"/>
        <v>Not Returned</v>
      </c>
      <c r="X43" s="28" t="str">
        <f t="shared" si="5"/>
        <v>Apr</v>
      </c>
    </row>
    <row r="44" spans="1:24" ht="15.75">
      <c r="A44" s="5" t="s">
        <v>122</v>
      </c>
      <c r="B44" s="6">
        <v>46118</v>
      </c>
      <c r="C44" s="5" t="s">
        <v>123</v>
      </c>
      <c r="D44" s="5" t="s">
        <v>124</v>
      </c>
      <c r="E44" s="5" t="s">
        <v>47</v>
      </c>
      <c r="F44" s="5" t="s">
        <v>36</v>
      </c>
      <c r="G44" s="5" t="s">
        <v>37</v>
      </c>
      <c r="H44" s="5">
        <v>3</v>
      </c>
      <c r="I44" s="5">
        <v>8500</v>
      </c>
      <c r="J44" s="7">
        <v>0.1</v>
      </c>
      <c r="K44" s="5" t="s">
        <v>30</v>
      </c>
      <c r="L44" s="5" t="s">
        <v>31</v>
      </c>
      <c r="M44" s="8">
        <v>6</v>
      </c>
      <c r="N44" s="20">
        <f>Ecommerce_data[[#This Row],[Quantity]]*Ecommerce_data[[#This Row],[Unit_Price]]</f>
        <v>25500</v>
      </c>
      <c r="O44" s="20">
        <f>Ecommerce_data[[#This Row],[Revenue]]*Ecommerce_data[[#This Row],[Discount]]</f>
        <v>2550</v>
      </c>
      <c r="P44" s="20">
        <f>Ecommerce_data[[#This Row],[Revenue]]-Ecommerce_data[[#This Row],[Discount_Amount]]</f>
        <v>22950</v>
      </c>
      <c r="Q44" s="20">
        <f>VLOOKUP(G44,Calculations!$A$2:$B$9,2,FALSE)</f>
        <v>5500</v>
      </c>
      <c r="R44" s="20">
        <f>Ecommerce_data[[#This Row],[Quantity]]*Ecommerce_data[[#This Row],[Unit_Cost]]</f>
        <v>16500</v>
      </c>
      <c r="S44" s="20">
        <f>Ecommerce_data[[#This Row],[Net_Sales]]-Ecommerce_data[[#This Row],[Total_Cost]]</f>
        <v>6450</v>
      </c>
      <c r="T44" s="13">
        <f>Ecommerce_data[[#This Row],[Profit]]/Ecommerce_data[[#This Row],[Net_Sales]]</f>
        <v>0.28104575163398693</v>
      </c>
      <c r="U44" s="11" t="str">
        <f>IF(COUNTIF($C$2:C44,C44)=1,"New Customer","Returning Customer")</f>
        <v>New Customer</v>
      </c>
      <c r="V44" s="11" t="str">
        <f t="shared" si="3"/>
        <v>Delayed</v>
      </c>
      <c r="W44" s="11" t="str">
        <f t="shared" si="4"/>
        <v>Not Returned</v>
      </c>
      <c r="X44" s="28" t="str">
        <f t="shared" si="5"/>
        <v>Apr</v>
      </c>
    </row>
    <row r="45" spans="1:24" ht="15.75">
      <c r="A45" s="1" t="s">
        <v>125</v>
      </c>
      <c r="B45" s="10">
        <v>46120</v>
      </c>
      <c r="C45" s="1" t="s">
        <v>126</v>
      </c>
      <c r="D45" s="1" t="s">
        <v>127</v>
      </c>
      <c r="E45" s="1" t="s">
        <v>42</v>
      </c>
      <c r="F45" s="1" t="s">
        <v>28</v>
      </c>
      <c r="G45" s="1" t="s">
        <v>62</v>
      </c>
      <c r="H45" s="1">
        <v>12</v>
      </c>
      <c r="I45" s="1">
        <v>800</v>
      </c>
      <c r="J45" s="3">
        <v>0</v>
      </c>
      <c r="K45" s="1" t="s">
        <v>38</v>
      </c>
      <c r="L45" s="1" t="s">
        <v>31</v>
      </c>
      <c r="M45" s="4">
        <v>2</v>
      </c>
      <c r="N45" s="20">
        <f>Ecommerce_data[[#This Row],[Quantity]]*Ecommerce_data[[#This Row],[Unit_Price]]</f>
        <v>9600</v>
      </c>
      <c r="O45" s="20">
        <f>Ecommerce_data[[#This Row],[Revenue]]*Ecommerce_data[[#This Row],[Discount]]</f>
        <v>0</v>
      </c>
      <c r="P45" s="20">
        <f>Ecommerce_data[[#This Row],[Revenue]]-Ecommerce_data[[#This Row],[Discount_Amount]]</f>
        <v>9600</v>
      </c>
      <c r="Q45" s="20">
        <f>VLOOKUP(G45,Calculations!$A$2:$B$9,2,FALSE)</f>
        <v>450</v>
      </c>
      <c r="R45" s="20">
        <f>Ecommerce_data[[#This Row],[Quantity]]*Ecommerce_data[[#This Row],[Unit_Cost]]</f>
        <v>5400</v>
      </c>
      <c r="S45" s="20">
        <f>Ecommerce_data[[#This Row],[Net_Sales]]-Ecommerce_data[[#This Row],[Total_Cost]]</f>
        <v>4200</v>
      </c>
      <c r="T45" s="13">
        <f>Ecommerce_data[[#This Row],[Profit]]/Ecommerce_data[[#This Row],[Net_Sales]]</f>
        <v>0.4375</v>
      </c>
      <c r="U45" s="11" t="str">
        <f>IF(COUNTIF($C$2:C45,C45)=1,"New Customer","Returning Customer")</f>
        <v>New Customer</v>
      </c>
      <c r="V45" s="11" t="str">
        <f t="shared" si="3"/>
        <v>Fast</v>
      </c>
      <c r="W45" s="11" t="str">
        <f t="shared" si="4"/>
        <v>Not Returned</v>
      </c>
      <c r="X45" s="28" t="str">
        <f t="shared" si="5"/>
        <v>Apr</v>
      </c>
    </row>
    <row r="46" spans="1:24" ht="15.75">
      <c r="A46" s="5" t="s">
        <v>128</v>
      </c>
      <c r="B46" s="6">
        <v>46122</v>
      </c>
      <c r="C46" s="5" t="s">
        <v>129</v>
      </c>
      <c r="D46" s="5" t="s">
        <v>130</v>
      </c>
      <c r="E46" s="5" t="s">
        <v>27</v>
      </c>
      <c r="F46" s="5" t="s">
        <v>28</v>
      </c>
      <c r="G46" s="5" t="s">
        <v>43</v>
      </c>
      <c r="H46" s="5">
        <v>2</v>
      </c>
      <c r="I46" s="5">
        <v>12000</v>
      </c>
      <c r="J46" s="7">
        <v>0.05</v>
      </c>
      <c r="K46" s="5" t="s">
        <v>30</v>
      </c>
      <c r="L46" s="5" t="s">
        <v>31</v>
      </c>
      <c r="M46" s="8">
        <v>3</v>
      </c>
      <c r="N46" s="20">
        <f>Ecommerce_data[[#This Row],[Quantity]]*Ecommerce_data[[#This Row],[Unit_Price]]</f>
        <v>24000</v>
      </c>
      <c r="O46" s="20">
        <f>Ecommerce_data[[#This Row],[Revenue]]*Ecommerce_data[[#This Row],[Discount]]</f>
        <v>1200</v>
      </c>
      <c r="P46" s="20">
        <f>Ecommerce_data[[#This Row],[Revenue]]-Ecommerce_data[[#This Row],[Discount_Amount]]</f>
        <v>22800</v>
      </c>
      <c r="Q46" s="20">
        <f>VLOOKUP(G46,Calculations!$A$2:$B$9,2,FALSE)</f>
        <v>8000</v>
      </c>
      <c r="R46" s="20">
        <f>Ecommerce_data[[#This Row],[Quantity]]*Ecommerce_data[[#This Row],[Unit_Cost]]</f>
        <v>16000</v>
      </c>
      <c r="S46" s="20">
        <f>Ecommerce_data[[#This Row],[Net_Sales]]-Ecommerce_data[[#This Row],[Total_Cost]]</f>
        <v>6800</v>
      </c>
      <c r="T46" s="13">
        <f>Ecommerce_data[[#This Row],[Profit]]/Ecommerce_data[[#This Row],[Net_Sales]]</f>
        <v>0.2982456140350877</v>
      </c>
      <c r="U46" s="11" t="str">
        <f>IF(COUNTIF($C$2:C46,C46)=1,"New Customer","Returning Customer")</f>
        <v>New Customer</v>
      </c>
      <c r="V46" s="11" t="str">
        <f t="shared" si="3"/>
        <v>Fast</v>
      </c>
      <c r="W46" s="11" t="str">
        <f t="shared" si="4"/>
        <v>Not Returned</v>
      </c>
      <c r="X46" s="28" t="str">
        <f t="shared" si="5"/>
        <v>Apr</v>
      </c>
    </row>
    <row r="47" spans="1:24" ht="15.75">
      <c r="A47" s="1" t="s">
        <v>131</v>
      </c>
      <c r="B47" s="10">
        <v>46124</v>
      </c>
      <c r="C47" s="1" t="s">
        <v>117</v>
      </c>
      <c r="D47" s="1" t="s">
        <v>118</v>
      </c>
      <c r="E47" s="1" t="s">
        <v>27</v>
      </c>
      <c r="F47" s="1" t="s">
        <v>28</v>
      </c>
      <c r="G47" s="1" t="s">
        <v>54</v>
      </c>
      <c r="H47" s="1">
        <v>10</v>
      </c>
      <c r="I47" s="1">
        <v>1500</v>
      </c>
      <c r="J47" s="3">
        <v>0.05</v>
      </c>
      <c r="K47" s="1" t="s">
        <v>30</v>
      </c>
      <c r="L47" s="1" t="s">
        <v>132</v>
      </c>
      <c r="M47" s="4">
        <v>3</v>
      </c>
      <c r="N47" s="20">
        <f>Ecommerce_data[[#This Row],[Quantity]]*Ecommerce_data[[#This Row],[Unit_Price]]</f>
        <v>15000</v>
      </c>
      <c r="O47" s="20">
        <f>Ecommerce_data[[#This Row],[Revenue]]*Ecommerce_data[[#This Row],[Discount]]</f>
        <v>750</v>
      </c>
      <c r="P47" s="20">
        <f>Ecommerce_data[[#This Row],[Revenue]]-Ecommerce_data[[#This Row],[Discount_Amount]]</f>
        <v>14250</v>
      </c>
      <c r="Q47" s="20">
        <f>VLOOKUP(G47,Calculations!$A$2:$B$9,2,FALSE)</f>
        <v>900</v>
      </c>
      <c r="R47" s="20">
        <f>Ecommerce_data[[#This Row],[Quantity]]*Ecommerce_data[[#This Row],[Unit_Cost]]</f>
        <v>9000</v>
      </c>
      <c r="S47" s="20">
        <f>Ecommerce_data[[#This Row],[Net_Sales]]-Ecommerce_data[[#This Row],[Total_Cost]]</f>
        <v>5250</v>
      </c>
      <c r="T47" s="13">
        <f>Ecommerce_data[[#This Row],[Profit]]/Ecommerce_data[[#This Row],[Net_Sales]]</f>
        <v>0.36842105263157893</v>
      </c>
      <c r="U47" s="11" t="str">
        <f>IF(COUNTIF($C$2:C47,C47)=1,"New Customer","Returning Customer")</f>
        <v>Returning Customer</v>
      </c>
      <c r="V47" s="11" t="str">
        <f t="shared" si="3"/>
        <v>Fast</v>
      </c>
      <c r="W47" s="11" t="str">
        <f t="shared" si="4"/>
        <v>Returned</v>
      </c>
      <c r="X47" s="28" t="str">
        <f t="shared" si="5"/>
        <v>Apr</v>
      </c>
    </row>
    <row r="48" spans="1:24" ht="15.75">
      <c r="A48" s="5" t="s">
        <v>133</v>
      </c>
      <c r="B48" s="6">
        <v>46126</v>
      </c>
      <c r="C48" s="5" t="s">
        <v>120</v>
      </c>
      <c r="D48" s="5" t="s">
        <v>121</v>
      </c>
      <c r="E48" s="5" t="s">
        <v>35</v>
      </c>
      <c r="F48" s="5" t="s">
        <v>48</v>
      </c>
      <c r="G48" s="5" t="s">
        <v>49</v>
      </c>
      <c r="H48" s="5">
        <v>25</v>
      </c>
      <c r="I48" s="5">
        <v>250</v>
      </c>
      <c r="J48" s="7">
        <v>0</v>
      </c>
      <c r="K48" s="5" t="s">
        <v>50</v>
      </c>
      <c r="L48" s="5" t="s">
        <v>31</v>
      </c>
      <c r="M48" s="8">
        <v>5</v>
      </c>
      <c r="N48" s="20">
        <f>Ecommerce_data[[#This Row],[Quantity]]*Ecommerce_data[[#This Row],[Unit_Price]]</f>
        <v>6250</v>
      </c>
      <c r="O48" s="20">
        <f>Ecommerce_data[[#This Row],[Revenue]]*Ecommerce_data[[#This Row],[Discount]]</f>
        <v>0</v>
      </c>
      <c r="P48" s="20">
        <f>Ecommerce_data[[#This Row],[Revenue]]-Ecommerce_data[[#This Row],[Discount_Amount]]</f>
        <v>6250</v>
      </c>
      <c r="Q48" s="20">
        <f>VLOOKUP(G48,Calculations!$A$2:$B$9,2,FALSE)</f>
        <v>120</v>
      </c>
      <c r="R48" s="20">
        <f>Ecommerce_data[[#This Row],[Quantity]]*Ecommerce_data[[#This Row],[Unit_Cost]]</f>
        <v>3000</v>
      </c>
      <c r="S48" s="20">
        <f>Ecommerce_data[[#This Row],[Net_Sales]]-Ecommerce_data[[#This Row],[Total_Cost]]</f>
        <v>3250</v>
      </c>
      <c r="T48" s="13">
        <f>Ecommerce_data[[#This Row],[Profit]]/Ecommerce_data[[#This Row],[Net_Sales]]</f>
        <v>0.52</v>
      </c>
      <c r="U48" s="11" t="str">
        <f>IF(COUNTIF($C$2:C48,C48)=1,"New Customer","Returning Customer")</f>
        <v>Returning Customer</v>
      </c>
      <c r="V48" s="11" t="str">
        <f t="shared" si="3"/>
        <v>Normal</v>
      </c>
      <c r="W48" s="11" t="str">
        <f t="shared" si="4"/>
        <v>Not Returned</v>
      </c>
      <c r="X48" s="28" t="str">
        <f t="shared" si="5"/>
        <v>Apr</v>
      </c>
    </row>
    <row r="49" spans="1:24" ht="15.75">
      <c r="A49" s="1" t="s">
        <v>134</v>
      </c>
      <c r="B49" s="10">
        <v>46128</v>
      </c>
      <c r="C49" s="1" t="s">
        <v>123</v>
      </c>
      <c r="D49" s="1" t="s">
        <v>124</v>
      </c>
      <c r="E49" s="1" t="s">
        <v>47</v>
      </c>
      <c r="F49" s="1" t="s">
        <v>36</v>
      </c>
      <c r="G49" s="1" t="s">
        <v>58</v>
      </c>
      <c r="H49" s="1">
        <v>1</v>
      </c>
      <c r="I49" s="1">
        <v>25000</v>
      </c>
      <c r="J49" s="3">
        <v>0.05</v>
      </c>
      <c r="K49" s="1" t="s">
        <v>38</v>
      </c>
      <c r="L49" s="1" t="s">
        <v>135</v>
      </c>
      <c r="M49" s="4">
        <v>0</v>
      </c>
      <c r="N49" s="20">
        <f>Ecommerce_data[[#This Row],[Quantity]]*Ecommerce_data[[#This Row],[Unit_Price]]</f>
        <v>25000</v>
      </c>
      <c r="O49" s="20">
        <f>Ecommerce_data[[#This Row],[Revenue]]*Ecommerce_data[[#This Row],[Discount]]</f>
        <v>1250</v>
      </c>
      <c r="P49" s="20">
        <f>Ecommerce_data[[#This Row],[Revenue]]-Ecommerce_data[[#This Row],[Discount_Amount]]</f>
        <v>23750</v>
      </c>
      <c r="Q49" s="20">
        <f>VLOOKUP(G49,Calculations!$A$2:$B$9,2,FALSE)</f>
        <v>17000</v>
      </c>
      <c r="R49" s="20">
        <f>Ecommerce_data[[#This Row],[Quantity]]*Ecommerce_data[[#This Row],[Unit_Cost]]</f>
        <v>17000</v>
      </c>
      <c r="S49" s="20">
        <f>Ecommerce_data[[#This Row],[Net_Sales]]-Ecommerce_data[[#This Row],[Total_Cost]]</f>
        <v>6750</v>
      </c>
      <c r="T49" s="13">
        <f>Ecommerce_data[[#This Row],[Profit]]/Ecommerce_data[[#This Row],[Net_Sales]]</f>
        <v>0.28421052631578947</v>
      </c>
      <c r="U49" s="11" t="str">
        <f>IF(COUNTIF($C$2:C49,C49)=1,"New Customer","Returning Customer")</f>
        <v>Returning Customer</v>
      </c>
      <c r="V49" s="11" t="str">
        <f t="shared" si="3"/>
        <v>Fast</v>
      </c>
      <c r="W49" s="11" t="str">
        <f t="shared" si="4"/>
        <v>Not Returned</v>
      </c>
      <c r="X49" s="28" t="str">
        <f t="shared" si="5"/>
        <v>Apr</v>
      </c>
    </row>
    <row r="50" spans="1:24" ht="15.75">
      <c r="A50" s="5" t="s">
        <v>136</v>
      </c>
      <c r="B50" s="6">
        <v>46130</v>
      </c>
      <c r="C50" s="5" t="s">
        <v>126</v>
      </c>
      <c r="D50" s="5" t="s">
        <v>127</v>
      </c>
      <c r="E50" s="5" t="s">
        <v>42</v>
      </c>
      <c r="F50" s="5" t="s">
        <v>28</v>
      </c>
      <c r="G50" s="5" t="s">
        <v>29</v>
      </c>
      <c r="H50" s="5">
        <v>2</v>
      </c>
      <c r="I50" s="5">
        <v>55000</v>
      </c>
      <c r="J50" s="7">
        <v>0.1</v>
      </c>
      <c r="K50" s="5" t="s">
        <v>30</v>
      </c>
      <c r="L50" s="5" t="s">
        <v>31</v>
      </c>
      <c r="M50" s="8">
        <v>7</v>
      </c>
      <c r="N50" s="20">
        <f>Ecommerce_data[[#This Row],[Quantity]]*Ecommerce_data[[#This Row],[Unit_Price]]</f>
        <v>110000</v>
      </c>
      <c r="O50" s="20">
        <f>Ecommerce_data[[#This Row],[Revenue]]*Ecommerce_data[[#This Row],[Discount]]</f>
        <v>11000</v>
      </c>
      <c r="P50" s="20">
        <f>Ecommerce_data[[#This Row],[Revenue]]-Ecommerce_data[[#This Row],[Discount_Amount]]</f>
        <v>99000</v>
      </c>
      <c r="Q50" s="20">
        <f>VLOOKUP(G50,Calculations!$A$2:$B$9,2,FALSE)</f>
        <v>40000</v>
      </c>
      <c r="R50" s="20">
        <f>Ecommerce_data[[#This Row],[Quantity]]*Ecommerce_data[[#This Row],[Unit_Cost]]</f>
        <v>80000</v>
      </c>
      <c r="S50" s="20">
        <f>Ecommerce_data[[#This Row],[Net_Sales]]-Ecommerce_data[[#This Row],[Total_Cost]]</f>
        <v>19000</v>
      </c>
      <c r="T50" s="13">
        <f>Ecommerce_data[[#This Row],[Profit]]/Ecommerce_data[[#This Row],[Net_Sales]]</f>
        <v>0.19191919191919191</v>
      </c>
      <c r="U50" s="11" t="str">
        <f>IF(COUNTIF($C$2:C50,C50)=1,"New Customer","Returning Customer")</f>
        <v>Returning Customer</v>
      </c>
      <c r="V50" s="11" t="str">
        <f t="shared" si="3"/>
        <v>Delayed</v>
      </c>
      <c r="W50" s="11" t="str">
        <f t="shared" si="4"/>
        <v>Not Returned</v>
      </c>
      <c r="X50" s="28" t="str">
        <f t="shared" si="5"/>
        <v>Apr</v>
      </c>
    </row>
    <row r="51" spans="1:24" ht="15.75">
      <c r="A51" s="1" t="s">
        <v>137</v>
      </c>
      <c r="B51" s="10">
        <v>46132</v>
      </c>
      <c r="C51" s="1" t="s">
        <v>129</v>
      </c>
      <c r="D51" s="1" t="s">
        <v>130</v>
      </c>
      <c r="E51" s="1" t="s">
        <v>27</v>
      </c>
      <c r="F51" s="1" t="s">
        <v>48</v>
      </c>
      <c r="G51" s="1" t="s">
        <v>66</v>
      </c>
      <c r="H51" s="1">
        <v>35</v>
      </c>
      <c r="I51" s="1">
        <v>450</v>
      </c>
      <c r="J51" s="3">
        <v>0.05</v>
      </c>
      <c r="K51" s="1" t="s">
        <v>50</v>
      </c>
      <c r="L51" s="1" t="s">
        <v>31</v>
      </c>
      <c r="M51" s="4">
        <v>4</v>
      </c>
      <c r="N51" s="20">
        <f>Ecommerce_data[[#This Row],[Quantity]]*Ecommerce_data[[#This Row],[Unit_Price]]</f>
        <v>15750</v>
      </c>
      <c r="O51" s="20">
        <f>Ecommerce_data[[#This Row],[Revenue]]*Ecommerce_data[[#This Row],[Discount]]</f>
        <v>787.5</v>
      </c>
      <c r="P51" s="20">
        <f>Ecommerce_data[[#This Row],[Revenue]]-Ecommerce_data[[#This Row],[Discount_Amount]]</f>
        <v>14962.5</v>
      </c>
      <c r="Q51" s="20">
        <f>VLOOKUP(G51,Calculations!$A$2:$B$9,2,FALSE)</f>
        <v>250</v>
      </c>
      <c r="R51" s="20">
        <f>Ecommerce_data[[#This Row],[Quantity]]*Ecommerce_data[[#This Row],[Unit_Cost]]</f>
        <v>8750</v>
      </c>
      <c r="S51" s="20">
        <f>Ecommerce_data[[#This Row],[Net_Sales]]-Ecommerce_data[[#This Row],[Total_Cost]]</f>
        <v>6212.5</v>
      </c>
      <c r="T51" s="13">
        <f>Ecommerce_data[[#This Row],[Profit]]/Ecommerce_data[[#This Row],[Net_Sales]]</f>
        <v>0.41520467836257308</v>
      </c>
      <c r="U51" s="11" t="str">
        <f>IF(COUNTIF($C$2:C51,C51)=1,"New Customer","Returning Customer")</f>
        <v>Returning Customer</v>
      </c>
      <c r="V51" s="11" t="str">
        <f t="shared" si="3"/>
        <v>Normal</v>
      </c>
      <c r="W51" s="11" t="str">
        <f t="shared" si="4"/>
        <v>Not Returned</v>
      </c>
      <c r="X51" s="28" t="str">
        <f t="shared" si="5"/>
        <v>Apr</v>
      </c>
    </row>
    <row r="52" spans="1:24" ht="15.75">
      <c r="A52" s="5" t="s">
        <v>138</v>
      </c>
      <c r="B52" s="6">
        <v>46134</v>
      </c>
      <c r="C52" s="5" t="s">
        <v>25</v>
      </c>
      <c r="D52" s="5" t="s">
        <v>26</v>
      </c>
      <c r="E52" s="5" t="s">
        <v>27</v>
      </c>
      <c r="F52" s="5" t="s">
        <v>28</v>
      </c>
      <c r="G52" s="5" t="s">
        <v>43</v>
      </c>
      <c r="H52" s="5">
        <v>2</v>
      </c>
      <c r="I52" s="5">
        <v>12000</v>
      </c>
      <c r="J52" s="7">
        <v>0.05</v>
      </c>
      <c r="K52" s="5" t="s">
        <v>30</v>
      </c>
      <c r="L52" s="5" t="s">
        <v>31</v>
      </c>
      <c r="M52" s="8">
        <v>3</v>
      </c>
      <c r="N52" s="20">
        <f>Ecommerce_data[[#This Row],[Quantity]]*Ecommerce_data[[#This Row],[Unit_Price]]</f>
        <v>24000</v>
      </c>
      <c r="O52" s="20">
        <f>Ecommerce_data[[#This Row],[Revenue]]*Ecommerce_data[[#This Row],[Discount]]</f>
        <v>1200</v>
      </c>
      <c r="P52" s="20">
        <f>Ecommerce_data[[#This Row],[Revenue]]-Ecommerce_data[[#This Row],[Discount_Amount]]</f>
        <v>22800</v>
      </c>
      <c r="Q52" s="20">
        <f>VLOOKUP(G52,Calculations!$A$2:$B$9,2,FALSE)</f>
        <v>8000</v>
      </c>
      <c r="R52" s="20">
        <f>Ecommerce_data[[#This Row],[Quantity]]*Ecommerce_data[[#This Row],[Unit_Cost]]</f>
        <v>16000</v>
      </c>
      <c r="S52" s="20">
        <f>Ecommerce_data[[#This Row],[Net_Sales]]-Ecommerce_data[[#This Row],[Total_Cost]]</f>
        <v>6800</v>
      </c>
      <c r="T52" s="13">
        <f>Ecommerce_data[[#This Row],[Profit]]/Ecommerce_data[[#This Row],[Net_Sales]]</f>
        <v>0.2982456140350877</v>
      </c>
      <c r="U52" s="11" t="str">
        <f>IF(COUNTIF($C$2:C52,C52)=1,"New Customer","Returning Customer")</f>
        <v>Returning Customer</v>
      </c>
      <c r="V52" s="11" t="str">
        <f t="shared" si="3"/>
        <v>Fast</v>
      </c>
      <c r="W52" s="11" t="str">
        <f t="shared" si="4"/>
        <v>Not Returned</v>
      </c>
      <c r="X52" s="28" t="str">
        <f t="shared" si="5"/>
        <v>Apr</v>
      </c>
    </row>
    <row r="53" spans="1:24" ht="15.75">
      <c r="A53" s="1" t="s">
        <v>139</v>
      </c>
      <c r="B53" s="10">
        <v>46136</v>
      </c>
      <c r="C53" s="1" t="s">
        <v>56</v>
      </c>
      <c r="D53" s="1" t="s">
        <v>57</v>
      </c>
      <c r="E53" s="1" t="s">
        <v>35</v>
      </c>
      <c r="F53" s="1" t="s">
        <v>36</v>
      </c>
      <c r="G53" s="1" t="s">
        <v>37</v>
      </c>
      <c r="H53" s="1">
        <v>2</v>
      </c>
      <c r="I53" s="1">
        <v>8500</v>
      </c>
      <c r="J53" s="3">
        <v>0.08</v>
      </c>
      <c r="K53" s="1" t="s">
        <v>38</v>
      </c>
      <c r="L53" s="1" t="s">
        <v>132</v>
      </c>
      <c r="M53" s="4">
        <v>6</v>
      </c>
      <c r="N53" s="20">
        <f>Ecommerce_data[[#This Row],[Quantity]]*Ecommerce_data[[#This Row],[Unit_Price]]</f>
        <v>17000</v>
      </c>
      <c r="O53" s="20">
        <f>Ecommerce_data[[#This Row],[Revenue]]*Ecommerce_data[[#This Row],[Discount]]</f>
        <v>1360</v>
      </c>
      <c r="P53" s="20">
        <f>Ecommerce_data[[#This Row],[Revenue]]-Ecommerce_data[[#This Row],[Discount_Amount]]</f>
        <v>15640</v>
      </c>
      <c r="Q53" s="20">
        <f>VLOOKUP(G53,Calculations!$A$2:$B$9,2,FALSE)</f>
        <v>5500</v>
      </c>
      <c r="R53" s="20">
        <f>Ecommerce_data[[#This Row],[Quantity]]*Ecommerce_data[[#This Row],[Unit_Cost]]</f>
        <v>11000</v>
      </c>
      <c r="S53" s="20">
        <f>Ecommerce_data[[#This Row],[Net_Sales]]-Ecommerce_data[[#This Row],[Total_Cost]]</f>
        <v>4640</v>
      </c>
      <c r="T53" s="13">
        <f>Ecommerce_data[[#This Row],[Profit]]/Ecommerce_data[[#This Row],[Net_Sales]]</f>
        <v>0.29667519181585678</v>
      </c>
      <c r="U53" s="11" t="str">
        <f>IF(COUNTIF($C$2:C53,C53)=1,"New Customer","Returning Customer")</f>
        <v>Returning Customer</v>
      </c>
      <c r="V53" s="11" t="str">
        <f t="shared" si="3"/>
        <v>Delayed</v>
      </c>
      <c r="W53" s="11" t="str">
        <f t="shared" si="4"/>
        <v>Returned</v>
      </c>
      <c r="X53" s="28" t="str">
        <f t="shared" si="5"/>
        <v>Apr</v>
      </c>
    </row>
    <row r="54" spans="1:24" ht="15.75">
      <c r="A54" s="5" t="s">
        <v>140</v>
      </c>
      <c r="B54" s="6">
        <v>46138</v>
      </c>
      <c r="C54" s="5" t="s">
        <v>87</v>
      </c>
      <c r="D54" s="5" t="s">
        <v>88</v>
      </c>
      <c r="E54" s="5" t="s">
        <v>42</v>
      </c>
      <c r="F54" s="5" t="s">
        <v>28</v>
      </c>
      <c r="G54" s="5" t="s">
        <v>29</v>
      </c>
      <c r="H54" s="5">
        <v>1</v>
      </c>
      <c r="I54" s="5">
        <v>55000</v>
      </c>
      <c r="J54" s="7">
        <v>0.05</v>
      </c>
      <c r="K54" s="5" t="s">
        <v>30</v>
      </c>
      <c r="L54" s="5" t="s">
        <v>31</v>
      </c>
      <c r="M54" s="8">
        <v>4</v>
      </c>
      <c r="N54" s="20">
        <f>Ecommerce_data[[#This Row],[Quantity]]*Ecommerce_data[[#This Row],[Unit_Price]]</f>
        <v>55000</v>
      </c>
      <c r="O54" s="20">
        <f>Ecommerce_data[[#This Row],[Revenue]]*Ecommerce_data[[#This Row],[Discount]]</f>
        <v>2750</v>
      </c>
      <c r="P54" s="20">
        <f>Ecommerce_data[[#This Row],[Revenue]]-Ecommerce_data[[#This Row],[Discount_Amount]]</f>
        <v>52250</v>
      </c>
      <c r="Q54" s="20">
        <f>VLOOKUP(G54,Calculations!$A$2:$B$9,2,FALSE)</f>
        <v>40000</v>
      </c>
      <c r="R54" s="20">
        <f>Ecommerce_data[[#This Row],[Quantity]]*Ecommerce_data[[#This Row],[Unit_Cost]]</f>
        <v>40000</v>
      </c>
      <c r="S54" s="20">
        <f>Ecommerce_data[[#This Row],[Net_Sales]]-Ecommerce_data[[#This Row],[Total_Cost]]</f>
        <v>12250</v>
      </c>
      <c r="T54" s="13">
        <f>Ecommerce_data[[#This Row],[Profit]]/Ecommerce_data[[#This Row],[Net_Sales]]</f>
        <v>0.23444976076555024</v>
      </c>
      <c r="U54" s="11" t="str">
        <f>IF(COUNTIF($C$2:C54,C54)=1,"New Customer","Returning Customer")</f>
        <v>Returning Customer</v>
      </c>
      <c r="V54" s="11" t="str">
        <f t="shared" si="3"/>
        <v>Normal</v>
      </c>
      <c r="W54" s="11" t="str">
        <f t="shared" si="4"/>
        <v>Not Returned</v>
      </c>
      <c r="X54" s="28" t="str">
        <f t="shared" si="5"/>
        <v>Apr</v>
      </c>
    </row>
    <row r="55" spans="1:24" ht="15.75">
      <c r="A55" s="1" t="s">
        <v>141</v>
      </c>
      <c r="B55" s="10">
        <v>46140</v>
      </c>
      <c r="C55" s="1" t="s">
        <v>90</v>
      </c>
      <c r="D55" s="1" t="s">
        <v>91</v>
      </c>
      <c r="E55" s="1" t="s">
        <v>47</v>
      </c>
      <c r="F55" s="1" t="s">
        <v>48</v>
      </c>
      <c r="G55" s="1" t="s">
        <v>49</v>
      </c>
      <c r="H55" s="1">
        <v>45</v>
      </c>
      <c r="I55" s="1">
        <v>250</v>
      </c>
      <c r="J55" s="3">
        <v>0.1</v>
      </c>
      <c r="K55" s="1" t="s">
        <v>50</v>
      </c>
      <c r="L55" s="1" t="s">
        <v>31</v>
      </c>
      <c r="M55" s="4">
        <v>5</v>
      </c>
      <c r="N55" s="20">
        <f>Ecommerce_data[[#This Row],[Quantity]]*Ecommerce_data[[#This Row],[Unit_Price]]</f>
        <v>11250</v>
      </c>
      <c r="O55" s="20">
        <f>Ecommerce_data[[#This Row],[Revenue]]*Ecommerce_data[[#This Row],[Discount]]</f>
        <v>1125</v>
      </c>
      <c r="P55" s="20">
        <f>Ecommerce_data[[#This Row],[Revenue]]-Ecommerce_data[[#This Row],[Discount_Amount]]</f>
        <v>10125</v>
      </c>
      <c r="Q55" s="20">
        <f>VLOOKUP(G55,Calculations!$A$2:$B$9,2,FALSE)</f>
        <v>120</v>
      </c>
      <c r="R55" s="20">
        <f>Ecommerce_data[[#This Row],[Quantity]]*Ecommerce_data[[#This Row],[Unit_Cost]]</f>
        <v>5400</v>
      </c>
      <c r="S55" s="20">
        <f>Ecommerce_data[[#This Row],[Net_Sales]]-Ecommerce_data[[#This Row],[Total_Cost]]</f>
        <v>4725</v>
      </c>
      <c r="T55" s="13">
        <f>Ecommerce_data[[#This Row],[Profit]]/Ecommerce_data[[#This Row],[Net_Sales]]</f>
        <v>0.46666666666666667</v>
      </c>
      <c r="U55" s="11" t="str">
        <f>IF(COUNTIF($C$2:C55,C55)=1,"New Customer","Returning Customer")</f>
        <v>Returning Customer</v>
      </c>
      <c r="V55" s="11" t="str">
        <f t="shared" si="3"/>
        <v>Normal</v>
      </c>
      <c r="W55" s="11" t="str">
        <f t="shared" si="4"/>
        <v>Not Returned</v>
      </c>
      <c r="X55" s="28" t="str">
        <f t="shared" si="5"/>
        <v>Apr</v>
      </c>
    </row>
    <row r="56" spans="1:24" ht="15.75">
      <c r="A56" s="5" t="s">
        <v>142</v>
      </c>
      <c r="B56" s="6">
        <v>46142</v>
      </c>
      <c r="C56" s="5" t="s">
        <v>93</v>
      </c>
      <c r="D56" s="5" t="s">
        <v>94</v>
      </c>
      <c r="E56" s="5" t="s">
        <v>27</v>
      </c>
      <c r="F56" s="5" t="s">
        <v>28</v>
      </c>
      <c r="G56" s="5" t="s">
        <v>54</v>
      </c>
      <c r="H56" s="5">
        <v>6</v>
      </c>
      <c r="I56" s="5">
        <v>1500</v>
      </c>
      <c r="J56" s="7">
        <v>0.05</v>
      </c>
      <c r="K56" s="5" t="s">
        <v>30</v>
      </c>
      <c r="L56" s="5" t="s">
        <v>31</v>
      </c>
      <c r="M56" s="8">
        <v>2</v>
      </c>
      <c r="N56" s="20">
        <f>Ecommerce_data[[#This Row],[Quantity]]*Ecommerce_data[[#This Row],[Unit_Price]]</f>
        <v>9000</v>
      </c>
      <c r="O56" s="20">
        <f>Ecommerce_data[[#This Row],[Revenue]]*Ecommerce_data[[#This Row],[Discount]]</f>
        <v>450</v>
      </c>
      <c r="P56" s="20">
        <f>Ecommerce_data[[#This Row],[Revenue]]-Ecommerce_data[[#This Row],[Discount_Amount]]</f>
        <v>8550</v>
      </c>
      <c r="Q56" s="20">
        <f>VLOOKUP(G56,Calculations!$A$2:$B$9,2,FALSE)</f>
        <v>900</v>
      </c>
      <c r="R56" s="20">
        <f>Ecommerce_data[[#This Row],[Quantity]]*Ecommerce_data[[#This Row],[Unit_Cost]]</f>
        <v>5400</v>
      </c>
      <c r="S56" s="20">
        <f>Ecommerce_data[[#This Row],[Net_Sales]]-Ecommerce_data[[#This Row],[Total_Cost]]</f>
        <v>3150</v>
      </c>
      <c r="T56" s="13">
        <f>Ecommerce_data[[#This Row],[Profit]]/Ecommerce_data[[#This Row],[Net_Sales]]</f>
        <v>0.36842105263157893</v>
      </c>
      <c r="U56" s="11" t="str">
        <f>IF(COUNTIF($C$2:C56,C56)=1,"New Customer","Returning Customer")</f>
        <v>Returning Customer</v>
      </c>
      <c r="V56" s="11" t="str">
        <f t="shared" si="3"/>
        <v>Fast</v>
      </c>
      <c r="W56" s="11" t="str">
        <f t="shared" si="4"/>
        <v>Not Returned</v>
      </c>
      <c r="X56" s="28" t="str">
        <f t="shared" si="5"/>
        <v>Apr</v>
      </c>
    </row>
    <row r="57" spans="1:24" ht="15.75">
      <c r="A57" s="1" t="s">
        <v>143</v>
      </c>
      <c r="B57" s="10">
        <v>46144</v>
      </c>
      <c r="C57" s="1" t="s">
        <v>96</v>
      </c>
      <c r="D57" s="1" t="s">
        <v>97</v>
      </c>
      <c r="E57" s="1" t="s">
        <v>35</v>
      </c>
      <c r="F57" s="1" t="s">
        <v>36</v>
      </c>
      <c r="G57" s="1" t="s">
        <v>58</v>
      </c>
      <c r="H57" s="1">
        <v>2</v>
      </c>
      <c r="I57" s="1">
        <v>25000</v>
      </c>
      <c r="J57" s="3">
        <v>0.05</v>
      </c>
      <c r="K57" s="1" t="s">
        <v>38</v>
      </c>
      <c r="L57" s="1" t="s">
        <v>31</v>
      </c>
      <c r="M57" s="4">
        <v>6</v>
      </c>
      <c r="N57" s="20">
        <f>Ecommerce_data[[#This Row],[Quantity]]*Ecommerce_data[[#This Row],[Unit_Price]]</f>
        <v>50000</v>
      </c>
      <c r="O57" s="20">
        <f>Ecommerce_data[[#This Row],[Revenue]]*Ecommerce_data[[#This Row],[Discount]]</f>
        <v>2500</v>
      </c>
      <c r="P57" s="20">
        <f>Ecommerce_data[[#This Row],[Revenue]]-Ecommerce_data[[#This Row],[Discount_Amount]]</f>
        <v>47500</v>
      </c>
      <c r="Q57" s="20">
        <f>VLOOKUP(G57,Calculations!$A$2:$B$9,2,FALSE)</f>
        <v>17000</v>
      </c>
      <c r="R57" s="20">
        <f>Ecommerce_data[[#This Row],[Quantity]]*Ecommerce_data[[#This Row],[Unit_Cost]]</f>
        <v>34000</v>
      </c>
      <c r="S57" s="20">
        <f>Ecommerce_data[[#This Row],[Net_Sales]]-Ecommerce_data[[#This Row],[Total_Cost]]</f>
        <v>13500</v>
      </c>
      <c r="T57" s="13">
        <f>Ecommerce_data[[#This Row],[Profit]]/Ecommerce_data[[#This Row],[Net_Sales]]</f>
        <v>0.28421052631578947</v>
      </c>
      <c r="U57" s="11" t="str">
        <f>IF(COUNTIF($C$2:C57,C57)=1,"New Customer","Returning Customer")</f>
        <v>Returning Customer</v>
      </c>
      <c r="V57" s="11" t="str">
        <f t="shared" si="3"/>
        <v>Delayed</v>
      </c>
      <c r="W57" s="11" t="str">
        <f t="shared" si="4"/>
        <v>Not Returned</v>
      </c>
      <c r="X57" s="28" t="str">
        <f t="shared" si="5"/>
        <v>May</v>
      </c>
    </row>
    <row r="58" spans="1:24" ht="15.75">
      <c r="A58" s="5" t="s">
        <v>144</v>
      </c>
      <c r="B58" s="6">
        <v>46146</v>
      </c>
      <c r="C58" s="5" t="s">
        <v>99</v>
      </c>
      <c r="D58" s="5" t="s">
        <v>100</v>
      </c>
      <c r="E58" s="5" t="s">
        <v>42</v>
      </c>
      <c r="F58" s="5" t="s">
        <v>28</v>
      </c>
      <c r="G58" s="5" t="s">
        <v>43</v>
      </c>
      <c r="H58" s="5">
        <v>3</v>
      </c>
      <c r="I58" s="5">
        <v>12000</v>
      </c>
      <c r="J58" s="7">
        <v>0.08</v>
      </c>
      <c r="K58" s="5" t="s">
        <v>30</v>
      </c>
      <c r="L58" s="5" t="s">
        <v>31</v>
      </c>
      <c r="M58" s="8">
        <v>3</v>
      </c>
      <c r="N58" s="20">
        <f>Ecommerce_data[[#This Row],[Quantity]]*Ecommerce_data[[#This Row],[Unit_Price]]</f>
        <v>36000</v>
      </c>
      <c r="O58" s="20">
        <f>Ecommerce_data[[#This Row],[Revenue]]*Ecommerce_data[[#This Row],[Discount]]</f>
        <v>2880</v>
      </c>
      <c r="P58" s="20">
        <f>Ecommerce_data[[#This Row],[Revenue]]-Ecommerce_data[[#This Row],[Discount_Amount]]</f>
        <v>33120</v>
      </c>
      <c r="Q58" s="20">
        <f>VLOOKUP(G58,Calculations!$A$2:$B$9,2,FALSE)</f>
        <v>8000</v>
      </c>
      <c r="R58" s="20">
        <f>Ecommerce_data[[#This Row],[Quantity]]*Ecommerce_data[[#This Row],[Unit_Cost]]</f>
        <v>24000</v>
      </c>
      <c r="S58" s="20">
        <f>Ecommerce_data[[#This Row],[Net_Sales]]-Ecommerce_data[[#This Row],[Total_Cost]]</f>
        <v>9120</v>
      </c>
      <c r="T58" s="13">
        <f>Ecommerce_data[[#This Row],[Profit]]/Ecommerce_data[[#This Row],[Net_Sales]]</f>
        <v>0.27536231884057971</v>
      </c>
      <c r="U58" s="11" t="str">
        <f>IF(COUNTIF($C$2:C58,C58)=1,"New Customer","Returning Customer")</f>
        <v>Returning Customer</v>
      </c>
      <c r="V58" s="11" t="str">
        <f t="shared" si="3"/>
        <v>Fast</v>
      </c>
      <c r="W58" s="11" t="str">
        <f t="shared" si="4"/>
        <v>Not Returned</v>
      </c>
      <c r="X58" s="28" t="str">
        <f t="shared" si="5"/>
        <v>May</v>
      </c>
    </row>
    <row r="59" spans="1:24" ht="15.75">
      <c r="A59" s="1" t="s">
        <v>145</v>
      </c>
      <c r="B59" s="10">
        <v>46148</v>
      </c>
      <c r="C59" s="1" t="s">
        <v>117</v>
      </c>
      <c r="D59" s="1" t="s">
        <v>118</v>
      </c>
      <c r="E59" s="1" t="s">
        <v>27</v>
      </c>
      <c r="F59" s="1" t="s">
        <v>28</v>
      </c>
      <c r="G59" s="1" t="s">
        <v>62</v>
      </c>
      <c r="H59" s="1">
        <v>15</v>
      </c>
      <c r="I59" s="1">
        <v>800</v>
      </c>
      <c r="J59" s="3">
        <v>0</v>
      </c>
      <c r="K59" s="1" t="s">
        <v>30</v>
      </c>
      <c r="L59" s="1" t="s">
        <v>31</v>
      </c>
      <c r="M59" s="4">
        <v>2</v>
      </c>
      <c r="N59" s="20">
        <f>Ecommerce_data[[#This Row],[Quantity]]*Ecommerce_data[[#This Row],[Unit_Price]]</f>
        <v>12000</v>
      </c>
      <c r="O59" s="20">
        <f>Ecommerce_data[[#This Row],[Revenue]]*Ecommerce_data[[#This Row],[Discount]]</f>
        <v>0</v>
      </c>
      <c r="P59" s="20">
        <f>Ecommerce_data[[#This Row],[Revenue]]-Ecommerce_data[[#This Row],[Discount_Amount]]</f>
        <v>12000</v>
      </c>
      <c r="Q59" s="20">
        <f>VLOOKUP(G59,Calculations!$A$2:$B$9,2,FALSE)</f>
        <v>450</v>
      </c>
      <c r="R59" s="20">
        <f>Ecommerce_data[[#This Row],[Quantity]]*Ecommerce_data[[#This Row],[Unit_Cost]]</f>
        <v>6750</v>
      </c>
      <c r="S59" s="20">
        <f>Ecommerce_data[[#This Row],[Net_Sales]]-Ecommerce_data[[#This Row],[Total_Cost]]</f>
        <v>5250</v>
      </c>
      <c r="T59" s="13">
        <f>Ecommerce_data[[#This Row],[Profit]]/Ecommerce_data[[#This Row],[Net_Sales]]</f>
        <v>0.4375</v>
      </c>
      <c r="U59" s="11" t="str">
        <f>IF(COUNTIF($C$2:C59,C59)=1,"New Customer","Returning Customer")</f>
        <v>Returning Customer</v>
      </c>
      <c r="V59" s="11" t="str">
        <f t="shared" si="3"/>
        <v>Fast</v>
      </c>
      <c r="W59" s="11" t="str">
        <f t="shared" si="4"/>
        <v>Not Returned</v>
      </c>
      <c r="X59" s="28" t="str">
        <f t="shared" si="5"/>
        <v>May</v>
      </c>
    </row>
    <row r="60" spans="1:24" ht="15.75">
      <c r="A60" s="5" t="s">
        <v>146</v>
      </c>
      <c r="B60" s="6">
        <v>46150</v>
      </c>
      <c r="C60" s="5" t="s">
        <v>120</v>
      </c>
      <c r="D60" s="5" t="s">
        <v>121</v>
      </c>
      <c r="E60" s="5" t="s">
        <v>35</v>
      </c>
      <c r="F60" s="5" t="s">
        <v>48</v>
      </c>
      <c r="G60" s="5" t="s">
        <v>66</v>
      </c>
      <c r="H60" s="5">
        <v>60</v>
      </c>
      <c r="I60" s="5">
        <v>450</v>
      </c>
      <c r="J60" s="7">
        <v>0.05</v>
      </c>
      <c r="K60" s="5" t="s">
        <v>50</v>
      </c>
      <c r="L60" s="5" t="s">
        <v>31</v>
      </c>
      <c r="M60" s="8">
        <v>4</v>
      </c>
      <c r="N60" s="20">
        <f>Ecommerce_data[[#This Row],[Quantity]]*Ecommerce_data[[#This Row],[Unit_Price]]</f>
        <v>27000</v>
      </c>
      <c r="O60" s="20">
        <f>Ecommerce_data[[#This Row],[Revenue]]*Ecommerce_data[[#This Row],[Discount]]</f>
        <v>1350</v>
      </c>
      <c r="P60" s="20">
        <f>Ecommerce_data[[#This Row],[Revenue]]-Ecommerce_data[[#This Row],[Discount_Amount]]</f>
        <v>25650</v>
      </c>
      <c r="Q60" s="20">
        <f>VLOOKUP(G60,Calculations!$A$2:$B$9,2,FALSE)</f>
        <v>250</v>
      </c>
      <c r="R60" s="20">
        <f>Ecommerce_data[[#This Row],[Quantity]]*Ecommerce_data[[#This Row],[Unit_Cost]]</f>
        <v>15000</v>
      </c>
      <c r="S60" s="20">
        <f>Ecommerce_data[[#This Row],[Net_Sales]]-Ecommerce_data[[#This Row],[Total_Cost]]</f>
        <v>10650</v>
      </c>
      <c r="T60" s="13">
        <f>Ecommerce_data[[#This Row],[Profit]]/Ecommerce_data[[#This Row],[Net_Sales]]</f>
        <v>0.41520467836257308</v>
      </c>
      <c r="U60" s="11" t="str">
        <f>IF(COUNTIF($C$2:C60,C60)=1,"New Customer","Returning Customer")</f>
        <v>Returning Customer</v>
      </c>
      <c r="V60" s="11" t="str">
        <f t="shared" si="3"/>
        <v>Normal</v>
      </c>
      <c r="W60" s="11" t="str">
        <f t="shared" si="4"/>
        <v>Not Returned</v>
      </c>
      <c r="X60" s="28" t="str">
        <f t="shared" si="5"/>
        <v>May</v>
      </c>
    </row>
    <row r="61" spans="1:24" ht="15.75">
      <c r="A61" s="11" t="s">
        <v>147</v>
      </c>
      <c r="B61" s="12">
        <v>46152</v>
      </c>
      <c r="C61" s="11" t="s">
        <v>123</v>
      </c>
      <c r="D61" s="11" t="s">
        <v>124</v>
      </c>
      <c r="E61" s="11" t="s">
        <v>47</v>
      </c>
      <c r="F61" s="11" t="s">
        <v>36</v>
      </c>
      <c r="G61" s="11" t="s">
        <v>37</v>
      </c>
      <c r="H61" s="11">
        <v>4</v>
      </c>
      <c r="I61" s="11">
        <v>8500</v>
      </c>
      <c r="J61" s="13">
        <v>0.1</v>
      </c>
      <c r="K61" s="11" t="s">
        <v>38</v>
      </c>
      <c r="L61" s="11" t="s">
        <v>31</v>
      </c>
      <c r="M61" s="14">
        <v>7</v>
      </c>
      <c r="N61" s="20">
        <f>Ecommerce_data[[#This Row],[Quantity]]*Ecommerce_data[[#This Row],[Unit_Price]]</f>
        <v>34000</v>
      </c>
      <c r="O61" s="20">
        <f>Ecommerce_data[[#This Row],[Revenue]]*Ecommerce_data[[#This Row],[Discount]]</f>
        <v>3400</v>
      </c>
      <c r="P61" s="20">
        <f>Ecommerce_data[[#This Row],[Revenue]]-Ecommerce_data[[#This Row],[Discount_Amount]]</f>
        <v>30600</v>
      </c>
      <c r="Q61" s="20">
        <f>VLOOKUP(G61,Calculations!$A$2:$B$9,2,FALSE)</f>
        <v>5500</v>
      </c>
      <c r="R61" s="20">
        <f>Ecommerce_data[[#This Row],[Quantity]]*Ecommerce_data[[#This Row],[Unit_Cost]]</f>
        <v>22000</v>
      </c>
      <c r="S61" s="20">
        <f>Ecommerce_data[[#This Row],[Net_Sales]]-Ecommerce_data[[#This Row],[Total_Cost]]</f>
        <v>8600</v>
      </c>
      <c r="T61" s="13">
        <f>Ecommerce_data[[#This Row],[Profit]]/Ecommerce_data[[#This Row],[Net_Sales]]</f>
        <v>0.28104575163398693</v>
      </c>
      <c r="U61" s="11" t="str">
        <f>IF(COUNTIF($C$2:C61,C61)=1,"New Customer","Returning Customer")</f>
        <v>Returning Customer</v>
      </c>
      <c r="V61" s="11" t="str">
        <f t="shared" si="3"/>
        <v>Delayed</v>
      </c>
      <c r="W61" s="11" t="str">
        <f t="shared" si="4"/>
        <v>Not Returned</v>
      </c>
      <c r="X61" s="28" t="str">
        <f t="shared" si="5"/>
        <v>May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2" sqref="A2"/>
    </sheetView>
  </sheetViews>
  <sheetFormatPr defaultRowHeight="14.25"/>
  <cols>
    <col min="1" max="1" width="13.375" customWidth="1"/>
    <col min="2" max="2" width="14.375" customWidth="1"/>
  </cols>
  <sheetData>
    <row r="1" spans="1:2" ht="15">
      <c r="A1" s="18" t="s">
        <v>6</v>
      </c>
      <c r="B1" s="18" t="s">
        <v>16</v>
      </c>
    </row>
    <row r="2" spans="1:2">
      <c r="A2" t="s">
        <v>29</v>
      </c>
      <c r="B2">
        <v>40000</v>
      </c>
    </row>
    <row r="3" spans="1:2">
      <c r="A3" t="s">
        <v>43</v>
      </c>
      <c r="B3">
        <v>8000</v>
      </c>
    </row>
    <row r="4" spans="1:2">
      <c r="A4" t="s">
        <v>54</v>
      </c>
      <c r="B4">
        <v>900</v>
      </c>
    </row>
    <row r="5" spans="1:2">
      <c r="A5" t="s">
        <v>62</v>
      </c>
      <c r="B5">
        <v>450</v>
      </c>
    </row>
    <row r="6" spans="1:2">
      <c r="A6" t="s">
        <v>58</v>
      </c>
      <c r="B6">
        <v>17000</v>
      </c>
    </row>
    <row r="7" spans="1:2">
      <c r="A7" t="s">
        <v>37</v>
      </c>
      <c r="B7">
        <v>5500</v>
      </c>
    </row>
    <row r="8" spans="1:2">
      <c r="A8" t="s">
        <v>49</v>
      </c>
      <c r="B8">
        <v>120</v>
      </c>
    </row>
    <row r="9" spans="1:2">
      <c r="A9" t="s">
        <v>66</v>
      </c>
      <c r="B9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4"/>
  <sheetViews>
    <sheetView topLeftCell="A48" workbookViewId="0">
      <selection activeCell="K25" sqref="K25"/>
    </sheetView>
  </sheetViews>
  <sheetFormatPr defaultRowHeight="14.25"/>
  <cols>
    <col min="1" max="1" width="15.875" customWidth="1"/>
    <col min="2" max="2" width="16.75" customWidth="1"/>
    <col min="4" max="4" width="12.25" customWidth="1"/>
    <col min="5" max="5" width="12.625" customWidth="1"/>
    <col min="6" max="6" width="16.75" customWidth="1"/>
    <col min="7" max="7" width="18.625" customWidth="1"/>
    <col min="8" max="8" width="19.25" customWidth="1"/>
    <col min="9" max="9" width="16.75" customWidth="1"/>
    <col min="11" max="11" width="17.125" customWidth="1"/>
    <col min="12" max="12" width="15.875" customWidth="1"/>
    <col min="13" max="13" width="9.75" bestFit="1" customWidth="1"/>
    <col min="14" max="14" width="9.25" bestFit="1" customWidth="1"/>
    <col min="15" max="15" width="11.375" bestFit="1" customWidth="1"/>
  </cols>
  <sheetData>
    <row r="1" spans="1:12" ht="15">
      <c r="A1" s="18" t="s">
        <v>148</v>
      </c>
      <c r="B1" s="18" t="s">
        <v>149</v>
      </c>
      <c r="D1" s="38" t="s">
        <v>150</v>
      </c>
      <c r="E1" s="38"/>
      <c r="G1" s="32" t="s">
        <v>151</v>
      </c>
      <c r="H1" s="27"/>
      <c r="K1" s="32" t="s">
        <v>152</v>
      </c>
      <c r="L1" s="31"/>
    </row>
    <row r="2" spans="1:12" ht="15">
      <c r="A2" t="s">
        <v>153</v>
      </c>
      <c r="B2" s="22">
        <f>SUM(Data!N2:N61)</f>
        <v>1842000</v>
      </c>
      <c r="D2" s="27" t="s">
        <v>154</v>
      </c>
      <c r="E2" s="29"/>
      <c r="G2" s="27" t="s">
        <v>155</v>
      </c>
      <c r="H2" s="29"/>
      <c r="K2" s="27" t="s">
        <v>156</v>
      </c>
      <c r="L2" s="27"/>
    </row>
    <row r="3" spans="1:12">
      <c r="A3" t="s">
        <v>157</v>
      </c>
      <c r="B3" s="22">
        <f>SUM(Data!O2:O61)</f>
        <v>124382.5</v>
      </c>
      <c r="D3" s="24" t="s">
        <v>4</v>
      </c>
      <c r="E3" t="s">
        <v>158</v>
      </c>
      <c r="G3" s="24" t="s">
        <v>20</v>
      </c>
      <c r="H3" t="s">
        <v>159</v>
      </c>
      <c r="K3" s="24" t="s">
        <v>11</v>
      </c>
      <c r="L3" t="s">
        <v>159</v>
      </c>
    </row>
    <row r="4" spans="1:12">
      <c r="A4" t="s">
        <v>160</v>
      </c>
      <c r="B4" s="22">
        <f>SUM(Data!P2:P61)</f>
        <v>1717617.5</v>
      </c>
      <c r="D4" t="s">
        <v>47</v>
      </c>
      <c r="E4" s="22">
        <v>73550</v>
      </c>
      <c r="G4" t="s">
        <v>161</v>
      </c>
      <c r="H4" s="30">
        <v>20</v>
      </c>
      <c r="K4" t="s">
        <v>135</v>
      </c>
      <c r="L4" s="30">
        <v>1</v>
      </c>
    </row>
    <row r="5" spans="1:12">
      <c r="A5" t="s">
        <v>162</v>
      </c>
      <c r="B5" s="22">
        <f>SUM(Data!R2:R61)</f>
        <v>1241000</v>
      </c>
      <c r="D5" t="s">
        <v>35</v>
      </c>
      <c r="E5" s="22">
        <v>109500</v>
      </c>
      <c r="G5" t="s">
        <v>163</v>
      </c>
      <c r="H5" s="30">
        <v>40</v>
      </c>
      <c r="K5" t="s">
        <v>31</v>
      </c>
      <c r="L5" s="30">
        <v>57</v>
      </c>
    </row>
    <row r="6" spans="1:12">
      <c r="A6" t="s">
        <v>164</v>
      </c>
      <c r="B6" s="22">
        <f>SUM(Data!S2:S61)</f>
        <v>476617.5</v>
      </c>
      <c r="D6" t="s">
        <v>27</v>
      </c>
      <c r="E6" s="22">
        <v>149637.5</v>
      </c>
      <c r="G6" t="s">
        <v>165</v>
      </c>
      <c r="H6" s="30">
        <v>60</v>
      </c>
      <c r="K6" t="s">
        <v>132</v>
      </c>
      <c r="L6" s="30">
        <v>2</v>
      </c>
    </row>
    <row r="7" spans="1:12">
      <c r="A7" t="s">
        <v>166</v>
      </c>
      <c r="B7">
        <f>B6/B4</f>
        <v>0.27748756635281135</v>
      </c>
      <c r="D7" t="s">
        <v>42</v>
      </c>
      <c r="E7" s="22">
        <v>143930</v>
      </c>
      <c r="K7" t="s">
        <v>165</v>
      </c>
      <c r="L7" s="30">
        <v>60</v>
      </c>
    </row>
    <row r="8" spans="1:12" ht="15">
      <c r="A8" t="s">
        <v>167</v>
      </c>
      <c r="B8">
        <f>COUNTA(Data!A2:A61)</f>
        <v>60</v>
      </c>
      <c r="D8" t="s">
        <v>165</v>
      </c>
      <c r="E8" s="22">
        <v>476617.5</v>
      </c>
      <c r="G8" s="27"/>
      <c r="H8" s="27" t="s">
        <v>168</v>
      </c>
    </row>
    <row r="9" spans="1:12" ht="15">
      <c r="A9" t="s">
        <v>169</v>
      </c>
      <c r="B9" s="22">
        <f>B4/B8</f>
        <v>28626.958333333332</v>
      </c>
      <c r="H9" s="24" t="s">
        <v>3</v>
      </c>
      <c r="I9" t="s">
        <v>170</v>
      </c>
      <c r="K9" s="27" t="s">
        <v>171</v>
      </c>
    </row>
    <row r="10" spans="1:12" ht="15">
      <c r="A10" t="s">
        <v>172</v>
      </c>
      <c r="B10">
        <f>AVERAGE(Data!M2:M61)</f>
        <v>4.1166666666666663</v>
      </c>
      <c r="D10" s="27" t="s">
        <v>173</v>
      </c>
      <c r="E10" s="29"/>
      <c r="G10" s="27"/>
      <c r="H10" t="s">
        <v>97</v>
      </c>
      <c r="I10" s="22">
        <v>105325</v>
      </c>
      <c r="K10" s="24" t="s">
        <v>21</v>
      </c>
      <c r="L10" t="s">
        <v>159</v>
      </c>
    </row>
    <row r="11" spans="1:12" ht="15">
      <c r="A11" t="s">
        <v>174</v>
      </c>
      <c r="B11" s="23">
        <f>COUNTIF(Data!W2:W61,"Returned")/COUNTA(Data!A2:A61)</f>
        <v>3.3333333333333333E-2</v>
      </c>
      <c r="D11" s="24" t="s">
        <v>5</v>
      </c>
      <c r="E11" t="s">
        <v>158</v>
      </c>
      <c r="G11" s="27"/>
      <c r="H11" t="s">
        <v>57</v>
      </c>
      <c r="I11" s="22">
        <v>73640</v>
      </c>
      <c r="K11" t="s">
        <v>175</v>
      </c>
      <c r="L11" s="30">
        <v>14</v>
      </c>
    </row>
    <row r="12" spans="1:12">
      <c r="D12" t="s">
        <v>28</v>
      </c>
      <c r="E12" s="22">
        <v>287355</v>
      </c>
      <c r="H12" t="s">
        <v>65</v>
      </c>
      <c r="I12" s="22">
        <v>36625</v>
      </c>
      <c r="K12" t="s">
        <v>176</v>
      </c>
      <c r="L12" s="30">
        <v>24</v>
      </c>
    </row>
    <row r="13" spans="1:12">
      <c r="D13" t="s">
        <v>36</v>
      </c>
      <c r="E13" s="22">
        <v>113750</v>
      </c>
      <c r="H13" t="s">
        <v>127</v>
      </c>
      <c r="I13" s="22">
        <v>108600</v>
      </c>
      <c r="K13" t="s">
        <v>177</v>
      </c>
      <c r="L13" s="30">
        <v>22</v>
      </c>
    </row>
    <row r="14" spans="1:12" ht="15">
      <c r="A14" s="25" t="s">
        <v>178</v>
      </c>
      <c r="D14" t="s">
        <v>48</v>
      </c>
      <c r="E14" s="22">
        <v>75512.5</v>
      </c>
      <c r="H14" t="s">
        <v>100</v>
      </c>
      <c r="I14" s="22">
        <v>138920</v>
      </c>
      <c r="K14" t="s">
        <v>165</v>
      </c>
      <c r="L14" s="30">
        <v>60</v>
      </c>
    </row>
    <row r="15" spans="1:12" ht="15">
      <c r="A15" s="26" t="s">
        <v>179</v>
      </c>
      <c r="D15" t="s">
        <v>165</v>
      </c>
      <c r="E15" s="22">
        <v>476617.5</v>
      </c>
      <c r="H15" t="s">
        <v>61</v>
      </c>
      <c r="I15" s="22">
        <v>55760</v>
      </c>
    </row>
    <row r="16" spans="1:12" ht="15">
      <c r="A16" s="24" t="s">
        <v>4</v>
      </c>
      <c r="B16" t="s">
        <v>170</v>
      </c>
      <c r="H16" t="s">
        <v>124</v>
      </c>
      <c r="I16" s="22">
        <v>77300</v>
      </c>
      <c r="K16" s="27" t="s">
        <v>180</v>
      </c>
      <c r="L16" s="29"/>
    </row>
    <row r="17" spans="1:15" ht="15">
      <c r="A17" t="s">
        <v>47</v>
      </c>
      <c r="B17" s="22">
        <v>224550</v>
      </c>
      <c r="D17" s="27" t="s">
        <v>181</v>
      </c>
      <c r="E17" s="29"/>
      <c r="H17" t="s">
        <v>69</v>
      </c>
      <c r="I17" s="22">
        <v>135950</v>
      </c>
      <c r="K17" s="24" t="s">
        <v>4</v>
      </c>
      <c r="L17" t="s">
        <v>182</v>
      </c>
    </row>
    <row r="18" spans="1:15">
      <c r="A18" t="s">
        <v>35</v>
      </c>
      <c r="B18" s="22">
        <v>341150</v>
      </c>
      <c r="D18" s="24" t="s">
        <v>6</v>
      </c>
      <c r="E18" t="s">
        <v>158</v>
      </c>
      <c r="H18" t="s">
        <v>88</v>
      </c>
      <c r="I18" s="22">
        <v>110900</v>
      </c>
      <c r="K18" t="s">
        <v>47</v>
      </c>
      <c r="L18" s="30">
        <v>4.75</v>
      </c>
    </row>
    <row r="19" spans="1:15">
      <c r="A19" t="s">
        <v>27</v>
      </c>
      <c r="B19" s="22">
        <v>576237.5</v>
      </c>
      <c r="D19" t="s">
        <v>58</v>
      </c>
      <c r="E19" s="22">
        <v>61750</v>
      </c>
      <c r="H19" t="s">
        <v>94</v>
      </c>
      <c r="I19" s="22">
        <v>42150</v>
      </c>
      <c r="K19" t="s">
        <v>35</v>
      </c>
      <c r="L19" s="30">
        <v>5.125</v>
      </c>
    </row>
    <row r="20" spans="1:15">
      <c r="A20" t="s">
        <v>42</v>
      </c>
      <c r="B20" s="22">
        <v>575680</v>
      </c>
      <c r="D20" t="s">
        <v>54</v>
      </c>
      <c r="E20" s="22">
        <v>21075</v>
      </c>
      <c r="H20" t="s">
        <v>46</v>
      </c>
      <c r="I20" s="22">
        <v>62500</v>
      </c>
      <c r="K20" t="s">
        <v>27</v>
      </c>
      <c r="L20" s="30">
        <v>3.4444444444444446</v>
      </c>
    </row>
    <row r="21" spans="1:15">
      <c r="A21" t="s">
        <v>165</v>
      </c>
      <c r="B21" s="22">
        <v>1717617.5</v>
      </c>
      <c r="D21" t="s">
        <v>29</v>
      </c>
      <c r="E21" s="22">
        <v>156100</v>
      </c>
      <c r="H21" t="s">
        <v>41</v>
      </c>
      <c r="I21" s="22">
        <v>161500</v>
      </c>
      <c r="K21" t="s">
        <v>42</v>
      </c>
      <c r="L21" s="30">
        <v>3.2857142857142856</v>
      </c>
    </row>
    <row r="22" spans="1:15">
      <c r="D22" t="s">
        <v>43</v>
      </c>
      <c r="E22" s="22">
        <v>93080</v>
      </c>
      <c r="H22" t="s">
        <v>72</v>
      </c>
      <c r="I22" s="22">
        <v>48610</v>
      </c>
      <c r="K22" t="s">
        <v>165</v>
      </c>
      <c r="L22" s="30">
        <v>4.1166666666666663</v>
      </c>
    </row>
    <row r="23" spans="1:15" ht="15">
      <c r="A23" s="27" t="s">
        <v>183</v>
      </c>
      <c r="D23" t="s">
        <v>62</v>
      </c>
      <c r="E23" s="22">
        <v>17100</v>
      </c>
      <c r="H23" t="s">
        <v>53</v>
      </c>
      <c r="I23" s="22">
        <v>113250</v>
      </c>
    </row>
    <row r="24" spans="1:15" ht="15">
      <c r="A24" s="24" t="s">
        <v>5</v>
      </c>
      <c r="B24" t="s">
        <v>170</v>
      </c>
      <c r="D24" t="s">
        <v>49</v>
      </c>
      <c r="E24" s="22">
        <v>31475</v>
      </c>
      <c r="H24" t="s">
        <v>26</v>
      </c>
      <c r="I24" s="22">
        <v>168625</v>
      </c>
      <c r="K24" s="27" t="s">
        <v>184</v>
      </c>
      <c r="L24" s="29"/>
    </row>
    <row r="25" spans="1:15">
      <c r="A25" t="s">
        <v>28</v>
      </c>
      <c r="B25" s="22">
        <v>1136955</v>
      </c>
      <c r="D25" t="s">
        <v>37</v>
      </c>
      <c r="E25" s="22">
        <v>52000</v>
      </c>
      <c r="H25" t="s">
        <v>118</v>
      </c>
      <c r="I25" s="22">
        <v>78500</v>
      </c>
      <c r="K25" s="24" t="s">
        <v>159</v>
      </c>
      <c r="L25" s="24" t="s">
        <v>11</v>
      </c>
    </row>
    <row r="26" spans="1:15">
      <c r="A26" t="s">
        <v>36</v>
      </c>
      <c r="B26" s="22">
        <v>410250</v>
      </c>
      <c r="D26" t="s">
        <v>66</v>
      </c>
      <c r="E26" s="22">
        <v>44037.5</v>
      </c>
      <c r="H26" t="s">
        <v>34</v>
      </c>
      <c r="I26" s="22">
        <v>60300</v>
      </c>
      <c r="K26" s="24" t="s">
        <v>6</v>
      </c>
      <c r="L26" t="s">
        <v>135</v>
      </c>
      <c r="M26" t="s">
        <v>31</v>
      </c>
      <c r="N26" t="s">
        <v>132</v>
      </c>
      <c r="O26" t="s">
        <v>165</v>
      </c>
    </row>
    <row r="27" spans="1:15">
      <c r="A27" t="s">
        <v>48</v>
      </c>
      <c r="B27" s="22">
        <v>170412.5</v>
      </c>
      <c r="D27" t="s">
        <v>165</v>
      </c>
      <c r="E27" s="22">
        <v>476617.5</v>
      </c>
      <c r="H27" t="s">
        <v>121</v>
      </c>
      <c r="I27" s="22">
        <v>53275</v>
      </c>
      <c r="K27" t="s">
        <v>58</v>
      </c>
      <c r="L27" s="30">
        <v>1</v>
      </c>
      <c r="M27" s="30">
        <v>6</v>
      </c>
      <c r="N27" s="30"/>
      <c r="O27" s="30">
        <v>7</v>
      </c>
    </row>
    <row r="28" spans="1:15">
      <c r="A28" t="s">
        <v>165</v>
      </c>
      <c r="B28" s="22">
        <v>1717617.5</v>
      </c>
      <c r="H28" t="s">
        <v>130</v>
      </c>
      <c r="I28" s="22">
        <v>37762.5</v>
      </c>
      <c r="K28" t="s">
        <v>54</v>
      </c>
      <c r="L28" s="30"/>
      <c r="M28" s="30">
        <v>5</v>
      </c>
      <c r="N28" s="30">
        <v>1</v>
      </c>
      <c r="O28" s="30">
        <v>6</v>
      </c>
    </row>
    <row r="29" spans="1:15" ht="15">
      <c r="D29" s="27" t="s">
        <v>185</v>
      </c>
      <c r="E29" s="29"/>
      <c r="H29" t="s">
        <v>91</v>
      </c>
      <c r="I29" s="22">
        <v>48125</v>
      </c>
      <c r="K29" t="s">
        <v>29</v>
      </c>
      <c r="L29" s="30"/>
      <c r="M29" s="30">
        <v>10</v>
      </c>
      <c r="N29" s="30"/>
      <c r="O29" s="30">
        <v>10</v>
      </c>
    </row>
    <row r="30" spans="1:15" ht="15">
      <c r="A30" s="27" t="s">
        <v>186</v>
      </c>
      <c r="D30" s="24" t="s">
        <v>5</v>
      </c>
      <c r="E30" t="s">
        <v>158</v>
      </c>
      <c r="F30" t="s">
        <v>170</v>
      </c>
      <c r="G30" t="s">
        <v>19</v>
      </c>
      <c r="H30" t="s">
        <v>165</v>
      </c>
      <c r="I30" s="22">
        <v>1717617.5</v>
      </c>
      <c r="K30" t="s">
        <v>43</v>
      </c>
      <c r="L30" s="30"/>
      <c r="M30" s="30">
        <v>10</v>
      </c>
      <c r="N30" s="30"/>
      <c r="O30" s="30">
        <v>10</v>
      </c>
    </row>
    <row r="31" spans="1:15">
      <c r="A31" s="24" t="s">
        <v>6</v>
      </c>
      <c r="B31" t="s">
        <v>170</v>
      </c>
      <c r="D31" t="s">
        <v>28</v>
      </c>
      <c r="E31" s="22">
        <v>287355</v>
      </c>
      <c r="F31" s="22">
        <v>1136955</v>
      </c>
      <c r="G31" s="23">
        <f>E31/F31</f>
        <v>0.25274087364935288</v>
      </c>
      <c r="K31" t="s">
        <v>62</v>
      </c>
      <c r="L31" s="30"/>
      <c r="M31" s="30">
        <v>5</v>
      </c>
      <c r="N31" s="30"/>
      <c r="O31" s="30">
        <v>5</v>
      </c>
    </row>
    <row r="32" spans="1:15" ht="15">
      <c r="A32" t="s">
        <v>58</v>
      </c>
      <c r="B32" s="22">
        <v>231750</v>
      </c>
      <c r="D32" t="s">
        <v>36</v>
      </c>
      <c r="E32" s="22">
        <v>113750</v>
      </c>
      <c r="F32" s="22">
        <v>410250</v>
      </c>
      <c r="G32" s="23">
        <f t="shared" ref="G32:G34" si="0">E32/F32</f>
        <v>0.27726995734308346</v>
      </c>
      <c r="H32" s="27" t="s">
        <v>187</v>
      </c>
      <c r="K32" t="s">
        <v>49</v>
      </c>
      <c r="L32" s="30"/>
      <c r="M32" s="30">
        <v>7</v>
      </c>
      <c r="N32" s="30"/>
      <c r="O32" s="30">
        <v>7</v>
      </c>
    </row>
    <row r="33" spans="1:15">
      <c r="A33" t="s">
        <v>54</v>
      </c>
      <c r="B33" s="22">
        <v>56175</v>
      </c>
      <c r="D33" t="s">
        <v>48</v>
      </c>
      <c r="E33" s="22">
        <v>75512.5</v>
      </c>
      <c r="F33" s="22">
        <v>170412.5</v>
      </c>
      <c r="G33" s="23">
        <f t="shared" si="0"/>
        <v>0.44311596860558938</v>
      </c>
      <c r="H33" s="24" t="s">
        <v>3</v>
      </c>
      <c r="I33" t="s">
        <v>170</v>
      </c>
      <c r="K33" t="s">
        <v>37</v>
      </c>
      <c r="L33" s="30"/>
      <c r="M33" s="30">
        <v>7</v>
      </c>
      <c r="N33" s="30">
        <v>1</v>
      </c>
      <c r="O33" s="30">
        <v>8</v>
      </c>
    </row>
    <row r="34" spans="1:15">
      <c r="A34" t="s">
        <v>29</v>
      </c>
      <c r="B34" s="22">
        <v>716100</v>
      </c>
      <c r="D34" t="s">
        <v>165</v>
      </c>
      <c r="E34" s="22">
        <v>476617.5</v>
      </c>
      <c r="F34" s="22">
        <v>1717617.5</v>
      </c>
      <c r="G34" s="23">
        <f t="shared" si="0"/>
        <v>0.27748756635281135</v>
      </c>
      <c r="H34" t="s">
        <v>97</v>
      </c>
      <c r="I34" s="22">
        <v>105325</v>
      </c>
      <c r="K34" t="s">
        <v>66</v>
      </c>
      <c r="L34" s="30"/>
      <c r="M34" s="30">
        <v>7</v>
      </c>
      <c r="N34" s="30"/>
      <c r="O34" s="30">
        <v>7</v>
      </c>
    </row>
    <row r="35" spans="1:15">
      <c r="A35" t="s">
        <v>43</v>
      </c>
      <c r="B35" s="22">
        <v>325080</v>
      </c>
      <c r="H35" t="s">
        <v>57</v>
      </c>
      <c r="I35" s="22">
        <v>73640</v>
      </c>
      <c r="K35" t="s">
        <v>165</v>
      </c>
      <c r="L35" s="30">
        <v>1</v>
      </c>
      <c r="M35" s="30">
        <v>57</v>
      </c>
      <c r="N35" s="30">
        <v>2</v>
      </c>
      <c r="O35" s="30">
        <v>60</v>
      </c>
    </row>
    <row r="36" spans="1:15">
      <c r="A36" t="s">
        <v>62</v>
      </c>
      <c r="B36" s="22">
        <v>39600</v>
      </c>
      <c r="H36" t="s">
        <v>65</v>
      </c>
      <c r="I36" s="22">
        <v>36625</v>
      </c>
    </row>
    <row r="37" spans="1:15">
      <c r="A37" t="s">
        <v>49</v>
      </c>
      <c r="B37" s="22">
        <v>63875</v>
      </c>
      <c r="H37" t="s">
        <v>127</v>
      </c>
      <c r="I37" s="22">
        <v>108600</v>
      </c>
    </row>
    <row r="38" spans="1:15">
      <c r="A38" t="s">
        <v>37</v>
      </c>
      <c r="B38" s="22">
        <v>178500</v>
      </c>
      <c r="H38" t="s">
        <v>100</v>
      </c>
      <c r="I38" s="22">
        <v>138920</v>
      </c>
    </row>
    <row r="39" spans="1:15">
      <c r="A39" t="s">
        <v>66</v>
      </c>
      <c r="B39" s="22">
        <v>106537.5</v>
      </c>
      <c r="H39" t="s">
        <v>61</v>
      </c>
      <c r="I39" s="22">
        <v>55760</v>
      </c>
    </row>
    <row r="40" spans="1:15">
      <c r="A40" t="s">
        <v>165</v>
      </c>
      <c r="B40" s="22">
        <v>1717617.5</v>
      </c>
      <c r="H40" t="s">
        <v>124</v>
      </c>
      <c r="I40" s="22">
        <v>77300</v>
      </c>
    </row>
    <row r="41" spans="1:15">
      <c r="H41" t="s">
        <v>69</v>
      </c>
      <c r="I41" s="22">
        <v>135950</v>
      </c>
    </row>
    <row r="42" spans="1:15" ht="15">
      <c r="A42" s="27" t="s">
        <v>188</v>
      </c>
      <c r="H42" t="s">
        <v>88</v>
      </c>
      <c r="I42" s="22">
        <v>110900</v>
      </c>
    </row>
    <row r="43" spans="1:15">
      <c r="A43" s="24" t="s">
        <v>23</v>
      </c>
      <c r="B43" t="s">
        <v>170</v>
      </c>
      <c r="H43" t="s">
        <v>94</v>
      </c>
      <c r="I43" s="22">
        <v>42150</v>
      </c>
    </row>
    <row r="44" spans="1:15">
      <c r="A44" t="s">
        <v>189</v>
      </c>
      <c r="B44" s="22">
        <v>298825</v>
      </c>
      <c r="H44" t="s">
        <v>46</v>
      </c>
      <c r="I44" s="22">
        <v>62500</v>
      </c>
    </row>
    <row r="45" spans="1:15">
      <c r="A45" t="s">
        <v>190</v>
      </c>
      <c r="B45" s="22">
        <v>406035</v>
      </c>
      <c r="H45" t="s">
        <v>41</v>
      </c>
      <c r="I45" s="22">
        <v>161500</v>
      </c>
    </row>
    <row r="46" spans="1:15">
      <c r="A46" t="s">
        <v>191</v>
      </c>
      <c r="B46" s="22">
        <v>467335</v>
      </c>
      <c r="H46" t="s">
        <v>72</v>
      </c>
      <c r="I46" s="22">
        <v>48610</v>
      </c>
    </row>
    <row r="47" spans="1:15">
      <c r="A47" t="s">
        <v>192</v>
      </c>
      <c r="B47" s="22">
        <v>396552.5</v>
      </c>
      <c r="H47" t="s">
        <v>53</v>
      </c>
      <c r="I47" s="22">
        <v>113250</v>
      </c>
    </row>
    <row r="48" spans="1:15">
      <c r="A48" t="s">
        <v>193</v>
      </c>
      <c r="B48" s="22">
        <v>148870</v>
      </c>
      <c r="H48" t="s">
        <v>26</v>
      </c>
      <c r="I48" s="22">
        <v>168625</v>
      </c>
    </row>
    <row r="49" spans="1:9">
      <c r="A49" t="s">
        <v>165</v>
      </c>
      <c r="B49" s="22">
        <v>1717617.5</v>
      </c>
      <c r="H49" t="s">
        <v>118</v>
      </c>
      <c r="I49" s="22">
        <v>78500</v>
      </c>
    </row>
    <row r="50" spans="1:9">
      <c r="H50" t="s">
        <v>34</v>
      </c>
      <c r="I50" s="22">
        <v>60300</v>
      </c>
    </row>
    <row r="51" spans="1:9">
      <c r="H51" t="s">
        <v>121</v>
      </c>
      <c r="I51" s="22">
        <v>53275</v>
      </c>
    </row>
    <row r="52" spans="1:9">
      <c r="H52" t="s">
        <v>130</v>
      </c>
      <c r="I52" s="22">
        <v>37762.5</v>
      </c>
    </row>
    <row r="53" spans="1:9">
      <c r="H53" t="s">
        <v>91</v>
      </c>
      <c r="I53" s="22">
        <v>48125</v>
      </c>
    </row>
    <row r="54" spans="1:9">
      <c r="H54" t="s">
        <v>165</v>
      </c>
      <c r="I54" s="22">
        <v>1717617.5</v>
      </c>
    </row>
  </sheetData>
  <mergeCells count="1">
    <mergeCell ref="D1:E1"/>
  </mergeCells>
  <pageMargins left="0.7" right="0.7" top="0.75" bottom="0.75" header="0.3" footer="0.3"/>
  <drawing r:id="rId16"/>
  <extLst>
    <ext xmlns:x14="http://schemas.microsoft.com/office/spreadsheetml/2009/9/main" uri="{A8765BA9-456A-4dab-B4F3-ACF838C121DE}">
      <x14:slicerList>
        <x14:slicer r:id="rId1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N55"/>
  <sheetViews>
    <sheetView showGridLines="0" tabSelected="1" workbookViewId="0">
      <selection sqref="A1:N1"/>
    </sheetView>
  </sheetViews>
  <sheetFormatPr defaultRowHeight="14.25"/>
  <cols>
    <col min="1" max="1" width="15.75" customWidth="1"/>
    <col min="3" max="3" width="16.75" customWidth="1"/>
    <col min="5" max="5" width="22.625" customWidth="1"/>
    <col min="7" max="7" width="24.875" customWidth="1"/>
    <col min="9" max="9" width="12.875" customWidth="1"/>
  </cols>
  <sheetData>
    <row r="1" spans="1:14" ht="15.75">
      <c r="A1" s="39" t="s">
        <v>194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 ht="20.25" customHeight="1">
      <c r="A3" s="33" t="s">
        <v>195</v>
      </c>
      <c r="C3" s="33" t="s">
        <v>196</v>
      </c>
      <c r="E3" s="35" t="s">
        <v>197</v>
      </c>
      <c r="G3" s="33" t="s">
        <v>198</v>
      </c>
      <c r="I3" s="33" t="s">
        <v>199</v>
      </c>
    </row>
    <row r="4" spans="1:14">
      <c r="A4" s="34">
        <f>Analysis!B2</f>
        <v>1842000</v>
      </c>
      <c r="C4" s="34">
        <f>Analysis!B3</f>
        <v>124382.5</v>
      </c>
      <c r="E4" s="34">
        <f>Analysis!B4</f>
        <v>1717617.5</v>
      </c>
      <c r="G4" s="36">
        <f>Analysis!B5</f>
        <v>1241000</v>
      </c>
      <c r="I4" s="34">
        <f>Analysis!B6</f>
        <v>476617.5</v>
      </c>
    </row>
    <row r="6" spans="1:14" ht="15">
      <c r="A6" s="33" t="s">
        <v>200</v>
      </c>
      <c r="C6" s="33" t="s">
        <v>201</v>
      </c>
      <c r="E6" s="33" t="s">
        <v>202</v>
      </c>
      <c r="G6" s="33" t="s">
        <v>203</v>
      </c>
      <c r="I6" s="33" t="s">
        <v>204</v>
      </c>
    </row>
    <row r="7" spans="1:14">
      <c r="A7" s="37">
        <f>Analysis!B7</f>
        <v>0.27748756635281135</v>
      </c>
      <c r="C7" s="36">
        <f>Analysis!B8</f>
        <v>60</v>
      </c>
      <c r="E7" s="34">
        <f>Analysis!B9</f>
        <v>28626.958333333332</v>
      </c>
      <c r="G7" s="36">
        <f>Analysis!B10</f>
        <v>4.1166666666666663</v>
      </c>
      <c r="I7" s="37">
        <f>Analysis!B11</f>
        <v>3.3333333333333333E-2</v>
      </c>
    </row>
    <row r="54" spans="1:14" ht="15.75">
      <c r="A54" s="40" t="s">
        <v>205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</row>
    <row r="55" spans="1:14" ht="15.75">
      <c r="A55" s="41" t="s">
        <v>206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</row>
  </sheetData>
  <mergeCells count="3">
    <mergeCell ref="A1:N1"/>
    <mergeCell ref="A54:N54"/>
    <mergeCell ref="A55:N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Calculations</vt:lpstr>
      <vt:lpstr>Analysis</vt:lpstr>
      <vt:lpstr>Dashboard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2026-10-25T08:53:29Z</dcterms:created>
  <dcterms:modified xsi:type="dcterms:W3CDTF">2026-10-26T14:47:53Z</dcterms:modified>
  <cp:category/>
  <cp:contentStatus/>
</cp:coreProperties>
</file>